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vims-resazurin/data/ploidy/field/"/>
    </mc:Choice>
  </mc:AlternateContent>
  <xr:revisionPtr revIDLastSave="0" documentId="13_ncr:1_{1E3430F8-1042-CA41-9010-699122161B1D}" xr6:coauthVersionLast="47" xr6:coauthVersionMax="47" xr10:uidLastSave="{00000000-0000-0000-0000-000000000000}"/>
  <bookViews>
    <workbookView xWindow="0" yWindow="760" windowWidth="30240" windowHeight="17760" xr2:uid="{9506B5CE-A628-164C-A7D7-A7FBD8EB91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4" i="1" l="1"/>
  <c r="S124" i="1" s="1"/>
  <c r="M124" i="1"/>
  <c r="L124" i="1"/>
  <c r="R22" i="1"/>
  <c r="S22" i="1" s="1"/>
  <c r="M22" i="1"/>
  <c r="L22" i="1"/>
  <c r="R87" i="1"/>
  <c r="S87" i="1" s="1"/>
  <c r="M87" i="1"/>
  <c r="L87" i="1"/>
  <c r="R67" i="1"/>
  <c r="S67" i="1" s="1"/>
  <c r="M67" i="1"/>
  <c r="L67" i="1"/>
  <c r="R136" i="1"/>
  <c r="S136" i="1" s="1"/>
  <c r="M136" i="1"/>
  <c r="L136" i="1"/>
  <c r="R18" i="1"/>
  <c r="S18" i="1" s="1"/>
  <c r="M18" i="1"/>
  <c r="L18" i="1"/>
  <c r="R120" i="1"/>
  <c r="S120" i="1" s="1"/>
  <c r="M120" i="1"/>
  <c r="L120" i="1"/>
  <c r="R17" i="1"/>
  <c r="S17" i="1" s="1"/>
  <c r="M17" i="1"/>
  <c r="L17" i="1"/>
  <c r="R169" i="1" l="1"/>
  <c r="S169" i="1" s="1"/>
  <c r="M169" i="1"/>
  <c r="L169" i="1"/>
  <c r="R168" i="1"/>
  <c r="S168" i="1" s="1"/>
  <c r="M168" i="1"/>
  <c r="L168" i="1"/>
  <c r="R167" i="1"/>
  <c r="S167" i="1" s="1"/>
  <c r="M167" i="1"/>
  <c r="L167" i="1"/>
  <c r="R165" i="1"/>
  <c r="S165" i="1" s="1"/>
  <c r="M165" i="1"/>
  <c r="L165" i="1"/>
  <c r="R164" i="1"/>
  <c r="S164" i="1" s="1"/>
  <c r="M164" i="1"/>
  <c r="L164" i="1"/>
  <c r="R162" i="1"/>
  <c r="S162" i="1" s="1"/>
  <c r="M162" i="1"/>
  <c r="L162" i="1"/>
  <c r="R159" i="1"/>
  <c r="S159" i="1" s="1"/>
  <c r="M159" i="1"/>
  <c r="L159" i="1"/>
  <c r="R158" i="1"/>
  <c r="S158" i="1" s="1"/>
  <c r="M158" i="1"/>
  <c r="L158" i="1"/>
  <c r="R157" i="1"/>
  <c r="S157" i="1" s="1"/>
  <c r="M157" i="1"/>
  <c r="L157" i="1"/>
  <c r="R155" i="1"/>
  <c r="S155" i="1" s="1"/>
  <c r="M155" i="1"/>
  <c r="L155" i="1"/>
  <c r="R154" i="1"/>
  <c r="S154" i="1" s="1"/>
  <c r="M154" i="1"/>
  <c r="L154" i="1"/>
  <c r="R153" i="1"/>
  <c r="S153" i="1" s="1"/>
  <c r="M153" i="1"/>
  <c r="L153" i="1"/>
  <c r="R152" i="1"/>
  <c r="S152" i="1" s="1"/>
  <c r="M152" i="1"/>
  <c r="L152" i="1"/>
  <c r="R150" i="1"/>
  <c r="S150" i="1" s="1"/>
  <c r="M150" i="1"/>
  <c r="L150" i="1"/>
  <c r="R148" i="1"/>
  <c r="S148" i="1" s="1"/>
  <c r="M148" i="1"/>
  <c r="L148" i="1"/>
  <c r="R146" i="1"/>
  <c r="S146" i="1" s="1"/>
  <c r="M146" i="1"/>
  <c r="L146" i="1"/>
  <c r="R145" i="1"/>
  <c r="S145" i="1" s="1"/>
  <c r="M145" i="1"/>
  <c r="L145" i="1"/>
  <c r="R144" i="1"/>
  <c r="S144" i="1" s="1"/>
  <c r="M144" i="1"/>
  <c r="L144" i="1"/>
  <c r="R143" i="1"/>
  <c r="S143" i="1" s="1"/>
  <c r="M143" i="1"/>
  <c r="L143" i="1"/>
  <c r="R140" i="1"/>
  <c r="S140" i="1" s="1"/>
  <c r="M140" i="1"/>
  <c r="L140" i="1"/>
  <c r="R139" i="1"/>
  <c r="S139" i="1" s="1"/>
  <c r="M139" i="1"/>
  <c r="L139" i="1"/>
  <c r="R138" i="1"/>
  <c r="S138" i="1" s="1"/>
  <c r="M138" i="1"/>
  <c r="L138" i="1"/>
  <c r="R137" i="1"/>
  <c r="S137" i="1" s="1"/>
  <c r="M137" i="1"/>
  <c r="L137" i="1"/>
  <c r="R134" i="1"/>
  <c r="S134" i="1" s="1"/>
  <c r="M134" i="1"/>
  <c r="L134" i="1"/>
  <c r="R129" i="1"/>
  <c r="S129" i="1" s="1"/>
  <c r="M129" i="1"/>
  <c r="L129" i="1"/>
  <c r="R126" i="1"/>
  <c r="S126" i="1" s="1"/>
  <c r="M126" i="1"/>
  <c r="L126" i="1"/>
  <c r="R125" i="1"/>
  <c r="S125" i="1" s="1"/>
  <c r="M125" i="1"/>
  <c r="L125" i="1"/>
  <c r="R123" i="1"/>
  <c r="S123" i="1" s="1"/>
  <c r="M123" i="1"/>
  <c r="L123" i="1"/>
  <c r="R122" i="1"/>
  <c r="S122" i="1" s="1"/>
  <c r="M122" i="1"/>
  <c r="L122" i="1"/>
  <c r="R119" i="1"/>
  <c r="S119" i="1" s="1"/>
  <c r="M119" i="1"/>
  <c r="L119" i="1"/>
  <c r="R118" i="1"/>
  <c r="S118" i="1" s="1"/>
  <c r="M118" i="1"/>
  <c r="L118" i="1"/>
  <c r="R117" i="1"/>
  <c r="S117" i="1" s="1"/>
  <c r="M117" i="1"/>
  <c r="L117" i="1"/>
  <c r="R116" i="1"/>
  <c r="S116" i="1" s="1"/>
  <c r="M116" i="1"/>
  <c r="L116" i="1"/>
  <c r="R115" i="1"/>
  <c r="S115" i="1" s="1"/>
  <c r="M115" i="1"/>
  <c r="L115" i="1"/>
  <c r="R114" i="1"/>
  <c r="S114" i="1" s="1"/>
  <c r="M114" i="1"/>
  <c r="L114" i="1"/>
  <c r="R113" i="1"/>
  <c r="S113" i="1" s="1"/>
  <c r="M113" i="1"/>
  <c r="L113" i="1"/>
  <c r="R112" i="1"/>
  <c r="S112" i="1" s="1"/>
  <c r="M112" i="1"/>
  <c r="L112" i="1"/>
  <c r="R111" i="1"/>
  <c r="S111" i="1" s="1"/>
  <c r="M111" i="1"/>
  <c r="L111" i="1"/>
  <c r="R110" i="1"/>
  <c r="S110" i="1" s="1"/>
  <c r="M110" i="1"/>
  <c r="L110" i="1"/>
  <c r="R109" i="1"/>
  <c r="S109" i="1" s="1"/>
  <c r="M109" i="1"/>
  <c r="L109" i="1"/>
  <c r="R108" i="1"/>
  <c r="S108" i="1" s="1"/>
  <c r="M108" i="1"/>
  <c r="L108" i="1"/>
  <c r="R107" i="1"/>
  <c r="S107" i="1" s="1"/>
  <c r="M107" i="1"/>
  <c r="L107" i="1"/>
  <c r="R106" i="1"/>
  <c r="S106" i="1" s="1"/>
  <c r="M106" i="1"/>
  <c r="L106" i="1"/>
  <c r="R105" i="1"/>
  <c r="S105" i="1" s="1"/>
  <c r="M105" i="1"/>
  <c r="L105" i="1"/>
  <c r="R102" i="1"/>
  <c r="S102" i="1" s="1"/>
  <c r="M102" i="1"/>
  <c r="L102" i="1"/>
  <c r="R101" i="1"/>
  <c r="S101" i="1" s="1"/>
  <c r="M101" i="1"/>
  <c r="L101" i="1"/>
  <c r="R100" i="1"/>
  <c r="S100" i="1" s="1"/>
  <c r="M100" i="1"/>
  <c r="L100" i="1"/>
  <c r="R99" i="1"/>
  <c r="S99" i="1" s="1"/>
  <c r="M99" i="1"/>
  <c r="L99" i="1"/>
  <c r="R97" i="1"/>
  <c r="S97" i="1" s="1"/>
  <c r="M97" i="1"/>
  <c r="L97" i="1"/>
  <c r="R96" i="1"/>
  <c r="S96" i="1" s="1"/>
  <c r="M96" i="1"/>
  <c r="L96" i="1"/>
  <c r="R95" i="1"/>
  <c r="S95" i="1" s="1"/>
  <c r="M95" i="1"/>
  <c r="L95" i="1"/>
  <c r="R94" i="1"/>
  <c r="S94" i="1" s="1"/>
  <c r="M94" i="1"/>
  <c r="L94" i="1"/>
  <c r="R92" i="1"/>
  <c r="S92" i="1" s="1"/>
  <c r="M92" i="1"/>
  <c r="L92" i="1"/>
  <c r="R91" i="1"/>
  <c r="S91" i="1" s="1"/>
  <c r="M91" i="1"/>
  <c r="L91" i="1"/>
  <c r="R86" i="1"/>
  <c r="S86" i="1" s="1"/>
  <c r="M86" i="1"/>
  <c r="L86" i="1"/>
  <c r="R84" i="1"/>
  <c r="S84" i="1" s="1"/>
  <c r="M84" i="1"/>
  <c r="L84" i="1"/>
  <c r="R80" i="1"/>
  <c r="S80" i="1" s="1"/>
  <c r="M80" i="1"/>
  <c r="L80" i="1"/>
  <c r="R79" i="1"/>
  <c r="S79" i="1" s="1"/>
  <c r="M79" i="1"/>
  <c r="L79" i="1"/>
  <c r="R78" i="1"/>
  <c r="S78" i="1" s="1"/>
  <c r="M78" i="1"/>
  <c r="L78" i="1"/>
  <c r="R77" i="1"/>
  <c r="S77" i="1" s="1"/>
  <c r="M77" i="1"/>
  <c r="L77" i="1"/>
  <c r="R76" i="1"/>
  <c r="S76" i="1" s="1"/>
  <c r="M76" i="1"/>
  <c r="L76" i="1"/>
  <c r="R74" i="1"/>
  <c r="S74" i="1" s="1"/>
  <c r="M74" i="1"/>
  <c r="L74" i="1"/>
  <c r="R73" i="1"/>
  <c r="S73" i="1" s="1"/>
  <c r="M73" i="1"/>
  <c r="L73" i="1"/>
  <c r="R71" i="1"/>
  <c r="S71" i="1" s="1"/>
  <c r="M71" i="1"/>
  <c r="L71" i="1"/>
  <c r="R69" i="1"/>
  <c r="S69" i="1" s="1"/>
  <c r="M69" i="1"/>
  <c r="L69" i="1"/>
  <c r="R68" i="1"/>
  <c r="S68" i="1" s="1"/>
  <c r="M68" i="1"/>
  <c r="L68" i="1"/>
  <c r="R66" i="1"/>
  <c r="S66" i="1" s="1"/>
  <c r="M66" i="1"/>
  <c r="L66" i="1"/>
  <c r="R65" i="1"/>
  <c r="S65" i="1" s="1"/>
  <c r="M65" i="1"/>
  <c r="L65" i="1"/>
  <c r="R55" i="1"/>
  <c r="S55" i="1" s="1"/>
  <c r="M55" i="1"/>
  <c r="L55" i="1"/>
  <c r="R54" i="1"/>
  <c r="S54" i="1" s="1"/>
  <c r="M54" i="1"/>
  <c r="L54" i="1"/>
  <c r="R53" i="1"/>
  <c r="S53" i="1" s="1"/>
  <c r="M53" i="1"/>
  <c r="L53" i="1"/>
  <c r="R51" i="1"/>
  <c r="S51" i="1" s="1"/>
  <c r="M51" i="1"/>
  <c r="L51" i="1"/>
  <c r="R50" i="1"/>
  <c r="S50" i="1" s="1"/>
  <c r="M50" i="1"/>
  <c r="L50" i="1"/>
  <c r="R49" i="1"/>
  <c r="S49" i="1" s="1"/>
  <c r="M49" i="1"/>
  <c r="L49" i="1"/>
  <c r="R47" i="1"/>
  <c r="S47" i="1" s="1"/>
  <c r="M47" i="1"/>
  <c r="L47" i="1"/>
  <c r="R45" i="1"/>
  <c r="S45" i="1" s="1"/>
  <c r="M45" i="1"/>
  <c r="L45" i="1"/>
  <c r="R44" i="1"/>
  <c r="S44" i="1" s="1"/>
  <c r="M44" i="1"/>
  <c r="L44" i="1"/>
  <c r="R43" i="1"/>
  <c r="S43" i="1" s="1"/>
  <c r="M43" i="1"/>
  <c r="L43" i="1"/>
  <c r="R41" i="1"/>
  <c r="S41" i="1" s="1"/>
  <c r="M41" i="1"/>
  <c r="L41" i="1"/>
  <c r="R40" i="1"/>
  <c r="S40" i="1" s="1"/>
  <c r="M40" i="1"/>
  <c r="L40" i="1"/>
  <c r="R39" i="1"/>
  <c r="S39" i="1" s="1"/>
  <c r="M39" i="1"/>
  <c r="L39" i="1"/>
  <c r="R37" i="1"/>
  <c r="S37" i="1" s="1"/>
  <c r="M37" i="1"/>
  <c r="L37" i="1"/>
  <c r="R35" i="1"/>
  <c r="S35" i="1" s="1"/>
  <c r="M35" i="1"/>
  <c r="L35" i="1"/>
  <c r="R33" i="1"/>
  <c r="S33" i="1" s="1"/>
  <c r="M33" i="1"/>
  <c r="L33" i="1"/>
  <c r="R32" i="1"/>
  <c r="S32" i="1" s="1"/>
  <c r="M32" i="1"/>
  <c r="L32" i="1"/>
  <c r="R31" i="1"/>
  <c r="S31" i="1" s="1"/>
  <c r="M31" i="1"/>
  <c r="L31" i="1"/>
  <c r="R30" i="1"/>
  <c r="S30" i="1" s="1"/>
  <c r="M30" i="1"/>
  <c r="L30" i="1"/>
  <c r="R29" i="1"/>
  <c r="S29" i="1" s="1"/>
  <c r="M29" i="1"/>
  <c r="L29" i="1"/>
  <c r="R28" i="1"/>
  <c r="S28" i="1" s="1"/>
  <c r="M28" i="1"/>
  <c r="L28" i="1"/>
  <c r="R27" i="1"/>
  <c r="S27" i="1" s="1"/>
  <c r="M27" i="1"/>
  <c r="L27" i="1"/>
  <c r="R26" i="1"/>
  <c r="S26" i="1" s="1"/>
  <c r="M26" i="1"/>
  <c r="L26" i="1"/>
  <c r="R25" i="1"/>
  <c r="S25" i="1" s="1"/>
  <c r="M25" i="1"/>
  <c r="L25" i="1"/>
  <c r="R23" i="1"/>
  <c r="S23" i="1" s="1"/>
  <c r="M23" i="1"/>
  <c r="L23" i="1"/>
  <c r="R21" i="1"/>
  <c r="S21" i="1" s="1"/>
  <c r="M21" i="1"/>
  <c r="L21" i="1"/>
  <c r="R20" i="1"/>
  <c r="S20" i="1" s="1"/>
  <c r="M20" i="1"/>
  <c r="L20" i="1"/>
  <c r="R19" i="1"/>
  <c r="S19" i="1" s="1"/>
  <c r="M19" i="1"/>
  <c r="L19" i="1"/>
  <c r="R15" i="1"/>
  <c r="S15" i="1" s="1"/>
  <c r="M15" i="1"/>
  <c r="L15" i="1"/>
  <c r="R14" i="1"/>
  <c r="S14" i="1" s="1"/>
  <c r="M14" i="1"/>
  <c r="L14" i="1"/>
  <c r="R13" i="1"/>
  <c r="S13" i="1" s="1"/>
  <c r="M13" i="1"/>
  <c r="L13" i="1"/>
  <c r="R11" i="1"/>
  <c r="S11" i="1" s="1"/>
  <c r="M11" i="1"/>
  <c r="L11" i="1"/>
  <c r="R10" i="1"/>
  <c r="S10" i="1" s="1"/>
  <c r="M10" i="1"/>
  <c r="L10" i="1"/>
  <c r="R9" i="1"/>
  <c r="S9" i="1" s="1"/>
  <c r="M9" i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tc={B687E017-81A0-504D-BDBB-AB75658BA119}</author>
  </authors>
  <commentList>
    <comment ref="G1" authorId="0" shapeId="0" xr:uid="{B687E017-81A0-504D-BDBB-AB75658BA11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9/3/26 from resazurin seed ID xls</t>
      </text>
    </comment>
  </commentList>
</comments>
</file>

<file path=xl/sharedStrings.xml><?xml version="1.0" encoding="utf-8"?>
<sst xmlns="http://schemas.openxmlformats.org/spreadsheetml/2006/main" count="1082" uniqueCount="84">
  <si>
    <t>date</t>
  </si>
  <si>
    <t>plate</t>
  </si>
  <si>
    <t>well</t>
  </si>
  <si>
    <t>family</t>
  </si>
  <si>
    <t>ploidy</t>
  </si>
  <si>
    <t>type</t>
  </si>
  <si>
    <t>plate1</t>
  </si>
  <si>
    <t>A01</t>
  </si>
  <si>
    <t>B01</t>
  </si>
  <si>
    <t>C01</t>
  </si>
  <si>
    <t>D01</t>
  </si>
  <si>
    <t>E01</t>
  </si>
  <si>
    <t>F01</t>
  </si>
  <si>
    <t>A02</t>
  </si>
  <si>
    <t>HNRY</t>
  </si>
  <si>
    <t>diploid</t>
  </si>
  <si>
    <t>sample</t>
  </si>
  <si>
    <t>B02</t>
  </si>
  <si>
    <t>C02</t>
  </si>
  <si>
    <t>D02</t>
  </si>
  <si>
    <t>E02</t>
  </si>
  <si>
    <t>F02</t>
  </si>
  <si>
    <t>A03</t>
  </si>
  <si>
    <t>triploid</t>
  </si>
  <si>
    <t>B03</t>
  </si>
  <si>
    <t>C03</t>
  </si>
  <si>
    <t>D03</t>
  </si>
  <si>
    <t>E03</t>
  </si>
  <si>
    <t>F03</t>
  </si>
  <si>
    <t>A04</t>
  </si>
  <si>
    <t>B04</t>
  </si>
  <si>
    <t>C04</t>
  </si>
  <si>
    <t>D04</t>
  </si>
  <si>
    <t>E04</t>
  </si>
  <si>
    <t>F04</t>
  </si>
  <si>
    <t>A05</t>
  </si>
  <si>
    <t>B05</t>
  </si>
  <si>
    <t>C05</t>
  </si>
  <si>
    <t>D05</t>
  </si>
  <si>
    <t>E05</t>
  </si>
  <si>
    <t>F05</t>
  </si>
  <si>
    <t>A06</t>
  </si>
  <si>
    <t>B06</t>
  </si>
  <si>
    <t>C06</t>
  </si>
  <si>
    <t>D06</t>
  </si>
  <si>
    <t>E06</t>
  </si>
  <si>
    <t>F06</t>
  </si>
  <si>
    <t>A07</t>
  </si>
  <si>
    <t>B07</t>
  </si>
  <si>
    <t>C07</t>
  </si>
  <si>
    <t>D07</t>
  </si>
  <si>
    <t>E07</t>
  </si>
  <si>
    <t>F07</t>
  </si>
  <si>
    <t>A08</t>
  </si>
  <si>
    <t>B08</t>
  </si>
  <si>
    <t>C08</t>
  </si>
  <si>
    <t>D08</t>
  </si>
  <si>
    <t>E08</t>
  </si>
  <si>
    <t>F08</t>
  </si>
  <si>
    <t>plate2</t>
  </si>
  <si>
    <t>plate3</t>
  </si>
  <si>
    <t>plate4</t>
  </si>
  <si>
    <t>test</t>
  </si>
  <si>
    <t>found dead during tagging, but clearly dead befoe assay</t>
  </si>
  <si>
    <t>tag</t>
  </si>
  <si>
    <t>cup</t>
  </si>
  <si>
    <t>fan</t>
  </si>
  <si>
    <t>tin_weight</t>
  </si>
  <si>
    <t>notes</t>
  </si>
  <si>
    <t>live_dead_sampling</t>
  </si>
  <si>
    <t>shell_height</t>
  </si>
  <si>
    <t>shell_length</t>
  </si>
  <si>
    <t>shell_width</t>
  </si>
  <si>
    <t>whole_wet_weight</t>
  </si>
  <si>
    <t>dry_shell_weight</t>
  </si>
  <si>
    <t>dry_tissue_weight</t>
  </si>
  <si>
    <t>dry_tissue_tin_weight</t>
  </si>
  <si>
    <t>condition_index</t>
  </si>
  <si>
    <t>found dead (not sure if went into resazurin dead?) REMOVE</t>
  </si>
  <si>
    <t>REMOVE THESE WITH ONLY SHELL HEIGHT</t>
  </si>
  <si>
    <t>small anemone on oyster - REMOVE FROM RESAZURIN</t>
  </si>
  <si>
    <t>remove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</si>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</sst>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"/>
    </font>
    <font>
      <sz val="11"/>
      <color rgb="FF000000"/>
      <name val="Calibri"/>
      <family val="2"/>
    </font>
    <font>
      <b/>
      <sz val="14"/>
      <color rgb="FF000000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14" fontId="0" fillId="0" borderId="0" xfId="0" applyNumberFormat="1"/>
    <xf numFmtId="0" fontId="4" fillId="0" borderId="0" xfId="0" applyFont="1"/>
    <xf numFmtId="2" fontId="4" fillId="0" borderId="0" xfId="0" applyNumberFormat="1" applyFont="1"/>
    <xf numFmtId="2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C. Walton" id="{ABF74AEF-6664-FF4D-BD30-E8E57633B116}" userId="S::walton@vims.edu::eb4e72ae-78f8-4fb3-99d0-4377910a97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9-03T09:49:32.65" personId="{ABF74AEF-6664-FF4D-BD30-E8E57633B116}" id="{B687E017-81A0-504D-BDBB-AB75658BA119}">
    <text>Added 9/3/26 from resazurin seed ID xls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D201-160D-7744-A296-617284EC138C}">
  <dimension ref="A1:U1715"/>
  <sheetViews>
    <sheetView tabSelected="1" topLeftCell="I142" zoomScaleNormal="100" workbookViewId="0">
      <selection activeCell="T166" sqref="T166"/>
    </sheetView>
  </sheetViews>
  <sheetFormatPr baseColWidth="10" defaultColWidth="11" defaultRowHeight="16" x14ac:dyDescent="0.2"/>
  <cols>
    <col min="1" max="1" width="20.5" customWidth="1"/>
    <col min="5" max="5" width="14" customWidth="1"/>
    <col min="7" max="7" width="10.83203125" customWidth="1"/>
    <col min="8" max="8" width="24.5" customWidth="1"/>
    <col min="9" max="10" width="10.83203125" customWidth="1"/>
    <col min="20" max="20" width="61" customWidth="1"/>
  </cols>
  <sheetData>
    <row r="1" spans="1:21" ht="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  <c r="H1" t="s">
        <v>69</v>
      </c>
      <c r="I1" s="1" t="s">
        <v>70</v>
      </c>
      <c r="J1" s="1" t="s">
        <v>71</v>
      </c>
      <c r="K1" s="1" t="s">
        <v>72</v>
      </c>
      <c r="L1" s="2" t="s">
        <v>65</v>
      </c>
      <c r="M1" s="2" t="s">
        <v>66</v>
      </c>
      <c r="N1" s="2" t="s">
        <v>73</v>
      </c>
      <c r="O1" s="2" t="s">
        <v>74</v>
      </c>
      <c r="P1" s="3" t="s">
        <v>67</v>
      </c>
      <c r="Q1" s="2" t="s">
        <v>75</v>
      </c>
      <c r="R1" s="3" t="s">
        <v>76</v>
      </c>
      <c r="S1" s="4" t="s">
        <v>77</v>
      </c>
      <c r="T1" s="3" t="s">
        <v>68</v>
      </c>
      <c r="U1" s="3" t="s">
        <v>81</v>
      </c>
    </row>
    <row r="2" spans="1:21" x14ac:dyDescent="0.2">
      <c r="A2">
        <v>20250826</v>
      </c>
      <c r="B2" t="s">
        <v>6</v>
      </c>
      <c r="C2" t="s">
        <v>13</v>
      </c>
      <c r="D2" s="5" t="s">
        <v>14</v>
      </c>
      <c r="E2" t="s">
        <v>15</v>
      </c>
      <c r="F2" t="s">
        <v>16</v>
      </c>
      <c r="G2">
        <v>500</v>
      </c>
      <c r="H2">
        <v>0</v>
      </c>
      <c r="I2" s="6">
        <v>63.53</v>
      </c>
      <c r="J2" s="6">
        <v>51.52</v>
      </c>
      <c r="K2" s="6">
        <v>21.19</v>
      </c>
      <c r="L2" s="6">
        <v>0.33354299999999998</v>
      </c>
      <c r="M2" s="6">
        <v>0.81095499999999998</v>
      </c>
      <c r="N2" s="6">
        <v>46.195</v>
      </c>
      <c r="O2" s="6">
        <v>30.337</v>
      </c>
      <c r="P2" s="6">
        <v>2.258</v>
      </c>
      <c r="Q2" s="6">
        <v>3.3580000000000001</v>
      </c>
      <c r="R2" s="6">
        <v>1.1000000000000001</v>
      </c>
      <c r="S2" s="7">
        <v>6.94</v>
      </c>
      <c r="U2" t="s">
        <v>83</v>
      </c>
    </row>
    <row r="3" spans="1:21" x14ac:dyDescent="0.2">
      <c r="A3">
        <v>20250826</v>
      </c>
      <c r="B3" t="s">
        <v>6</v>
      </c>
      <c r="C3" t="s">
        <v>17</v>
      </c>
      <c r="D3" s="5" t="s">
        <v>14</v>
      </c>
      <c r="E3" t="s">
        <v>15</v>
      </c>
      <c r="F3" t="s">
        <v>16</v>
      </c>
      <c r="G3">
        <v>501</v>
      </c>
      <c r="H3">
        <v>0</v>
      </c>
      <c r="I3" s="6">
        <v>57.63</v>
      </c>
      <c r="J3" s="6">
        <v>49.87</v>
      </c>
      <c r="K3" s="6">
        <v>24</v>
      </c>
      <c r="L3" s="6">
        <v>0.41644999999999999</v>
      </c>
      <c r="M3" s="6">
        <v>0.86534800000000001</v>
      </c>
      <c r="N3" s="6">
        <v>45.927</v>
      </c>
      <c r="O3" s="6">
        <v>33.622</v>
      </c>
      <c r="P3" s="6">
        <v>2.2599999999999998</v>
      </c>
      <c r="Q3" s="6">
        <v>3.3820000000000001</v>
      </c>
      <c r="R3" s="6">
        <v>1.1220000000000001</v>
      </c>
      <c r="S3" s="7">
        <v>9.1199999999999992</v>
      </c>
      <c r="U3" t="s">
        <v>83</v>
      </c>
    </row>
    <row r="4" spans="1:21" x14ac:dyDescent="0.2">
      <c r="A4">
        <v>20250826</v>
      </c>
      <c r="B4" t="s">
        <v>6</v>
      </c>
      <c r="C4" t="s">
        <v>18</v>
      </c>
      <c r="D4" s="5" t="s">
        <v>14</v>
      </c>
      <c r="E4" t="s">
        <v>15</v>
      </c>
      <c r="F4" t="s">
        <v>16</v>
      </c>
      <c r="G4">
        <v>502</v>
      </c>
      <c r="H4">
        <v>0</v>
      </c>
      <c r="I4" s="6">
        <v>67.94</v>
      </c>
      <c r="J4" s="6">
        <v>54.47</v>
      </c>
      <c r="K4" s="6">
        <v>26.85</v>
      </c>
      <c r="L4" s="6">
        <v>0.395202</v>
      </c>
      <c r="M4" s="6">
        <v>0.80173700000000003</v>
      </c>
      <c r="N4" s="6">
        <v>57.332999999999998</v>
      </c>
      <c r="O4" s="6">
        <v>38.792999999999999</v>
      </c>
      <c r="P4" s="6">
        <v>2.2450000000000001</v>
      </c>
      <c r="Q4" s="6">
        <v>3.8210000000000002</v>
      </c>
      <c r="R4" s="6">
        <v>1.5760000000000001</v>
      </c>
      <c r="S4" s="7">
        <v>8.5</v>
      </c>
      <c r="U4" t="s">
        <v>83</v>
      </c>
    </row>
    <row r="5" spans="1:21" x14ac:dyDescent="0.2">
      <c r="A5">
        <v>20250826</v>
      </c>
      <c r="B5" t="s">
        <v>6</v>
      </c>
      <c r="C5" t="s">
        <v>19</v>
      </c>
      <c r="D5" s="5" t="s">
        <v>14</v>
      </c>
      <c r="E5" t="s">
        <v>15</v>
      </c>
      <c r="F5" t="s">
        <v>16</v>
      </c>
      <c r="G5">
        <v>503</v>
      </c>
      <c r="H5">
        <v>0</v>
      </c>
      <c r="I5" s="6">
        <v>66.19</v>
      </c>
      <c r="J5" s="6">
        <v>54.62</v>
      </c>
      <c r="K5" s="6">
        <v>27.71</v>
      </c>
      <c r="L5" s="6">
        <v>0.41864299999999999</v>
      </c>
      <c r="M5" s="6">
        <v>0.82520000000000004</v>
      </c>
      <c r="N5" s="6">
        <v>62.225000000000001</v>
      </c>
      <c r="O5" s="6">
        <v>43.191000000000003</v>
      </c>
      <c r="P5" s="6">
        <v>2.2850000000000001</v>
      </c>
      <c r="Q5" s="6">
        <v>3.802</v>
      </c>
      <c r="R5" s="6">
        <v>1.5169999999999999</v>
      </c>
      <c r="S5" s="7">
        <v>7.97</v>
      </c>
      <c r="U5" t="s">
        <v>83</v>
      </c>
    </row>
    <row r="6" spans="1:21" x14ac:dyDescent="0.2">
      <c r="A6">
        <v>20250826</v>
      </c>
      <c r="B6" t="s">
        <v>6</v>
      </c>
      <c r="C6" t="s">
        <v>20</v>
      </c>
      <c r="D6" s="5" t="s">
        <v>14</v>
      </c>
      <c r="E6" t="s">
        <v>15</v>
      </c>
      <c r="F6" t="s">
        <v>16</v>
      </c>
      <c r="G6">
        <v>504</v>
      </c>
      <c r="H6">
        <v>0</v>
      </c>
      <c r="I6" s="6">
        <v>65.239999999999995</v>
      </c>
      <c r="J6" s="6">
        <v>50.69</v>
      </c>
      <c r="K6" s="6">
        <v>23.85</v>
      </c>
      <c r="L6" s="6">
        <v>0.36557299999999998</v>
      </c>
      <c r="M6" s="6">
        <v>0.77697700000000003</v>
      </c>
      <c r="N6" s="6">
        <v>54.518000000000001</v>
      </c>
      <c r="O6" s="6">
        <v>36.356000000000002</v>
      </c>
      <c r="P6" s="6">
        <v>2.2309999999999999</v>
      </c>
      <c r="Q6" s="6">
        <v>3.794</v>
      </c>
      <c r="R6" s="6">
        <v>1.5629999999999999</v>
      </c>
      <c r="S6" s="7">
        <v>8.61</v>
      </c>
      <c r="U6" t="s">
        <v>83</v>
      </c>
    </row>
    <row r="7" spans="1:21" x14ac:dyDescent="0.2">
      <c r="A7">
        <v>20250826</v>
      </c>
      <c r="B7" t="s">
        <v>6</v>
      </c>
      <c r="C7" t="s">
        <v>21</v>
      </c>
      <c r="D7" s="5" t="s">
        <v>14</v>
      </c>
      <c r="E7" t="s">
        <v>15</v>
      </c>
      <c r="F7" t="s">
        <v>16</v>
      </c>
      <c r="G7">
        <v>505</v>
      </c>
      <c r="H7">
        <v>0</v>
      </c>
      <c r="I7" s="6">
        <v>64.89</v>
      </c>
      <c r="J7" s="6">
        <v>54.28</v>
      </c>
      <c r="K7" s="6">
        <v>26.87</v>
      </c>
      <c r="L7" s="6">
        <v>0.41408499999999998</v>
      </c>
      <c r="M7" s="6">
        <v>0.83649300000000004</v>
      </c>
      <c r="N7" s="6">
        <v>56.371000000000002</v>
      </c>
      <c r="O7" s="6">
        <v>38.715000000000003</v>
      </c>
      <c r="P7" s="6">
        <v>2.2189999999999999</v>
      </c>
      <c r="Q7" s="6">
        <v>3.2559999999999998</v>
      </c>
      <c r="R7" s="6">
        <v>1.0369999999999999</v>
      </c>
      <c r="S7" s="7">
        <v>5.87</v>
      </c>
      <c r="U7" t="s">
        <v>83</v>
      </c>
    </row>
    <row r="8" spans="1:21" x14ac:dyDescent="0.2">
      <c r="A8">
        <v>20250826</v>
      </c>
      <c r="B8" t="s">
        <v>6</v>
      </c>
      <c r="C8" t="s">
        <v>22</v>
      </c>
      <c r="D8" s="5" t="s">
        <v>14</v>
      </c>
      <c r="E8" t="s">
        <v>23</v>
      </c>
      <c r="F8" t="s">
        <v>16</v>
      </c>
      <c r="G8">
        <v>506</v>
      </c>
      <c r="H8">
        <v>1</v>
      </c>
      <c r="I8">
        <v>48.45</v>
      </c>
      <c r="U8" t="s">
        <v>82</v>
      </c>
    </row>
    <row r="9" spans="1:21" x14ac:dyDescent="0.2">
      <c r="A9">
        <v>20250826</v>
      </c>
      <c r="B9" t="s">
        <v>6</v>
      </c>
      <c r="C9" t="s">
        <v>24</v>
      </c>
      <c r="D9" s="5" t="s">
        <v>14</v>
      </c>
      <c r="E9" t="s">
        <v>23</v>
      </c>
      <c r="F9" t="s">
        <v>16</v>
      </c>
      <c r="G9">
        <v>507</v>
      </c>
      <c r="H9">
        <v>0</v>
      </c>
      <c r="I9">
        <v>75.62</v>
      </c>
      <c r="J9">
        <v>60.59</v>
      </c>
      <c r="K9">
        <v>33.479999999999997</v>
      </c>
      <c r="L9">
        <f>K9/I9</f>
        <v>0.44274001586881773</v>
      </c>
      <c r="M9">
        <f>J9/I9</f>
        <v>0.80124305739222423</v>
      </c>
      <c r="N9">
        <v>96.694000000000003</v>
      </c>
      <c r="O9">
        <v>68.322999999999993</v>
      </c>
      <c r="P9">
        <v>2.3159999999999998</v>
      </c>
      <c r="Q9">
        <v>4.8209999999999997</v>
      </c>
      <c r="R9">
        <f>Q9-P9</f>
        <v>2.5049999999999999</v>
      </c>
      <c r="S9" s="8">
        <f>(R9/(N9-O9))*100</f>
        <v>8.8294385111557538</v>
      </c>
      <c r="U9" t="s">
        <v>83</v>
      </c>
    </row>
    <row r="10" spans="1:21" x14ac:dyDescent="0.2">
      <c r="A10">
        <v>20250826</v>
      </c>
      <c r="B10" t="s">
        <v>6</v>
      </c>
      <c r="C10" t="s">
        <v>25</v>
      </c>
      <c r="D10" s="5" t="s">
        <v>14</v>
      </c>
      <c r="E10" t="s">
        <v>23</v>
      </c>
      <c r="F10" t="s">
        <v>16</v>
      </c>
      <c r="G10">
        <v>508</v>
      </c>
      <c r="H10">
        <v>0</v>
      </c>
      <c r="I10">
        <v>65.67</v>
      </c>
      <c r="J10">
        <v>56.01</v>
      </c>
      <c r="K10">
        <v>27.76</v>
      </c>
      <c r="L10">
        <f>K10/I10</f>
        <v>0.42271965890056346</v>
      </c>
      <c r="M10">
        <f>J10/I10</f>
        <v>0.85290086797624476</v>
      </c>
      <c r="N10">
        <v>61.564999999999998</v>
      </c>
      <c r="O10">
        <v>47.326000000000001</v>
      </c>
      <c r="P10">
        <v>2.2370000000000001</v>
      </c>
      <c r="Q10">
        <v>3.589</v>
      </c>
      <c r="R10">
        <f>Q10-P10</f>
        <v>1.3519999999999999</v>
      </c>
      <c r="S10" s="8">
        <f>(R10/(N10-O10))*100</f>
        <v>9.4950488096074181</v>
      </c>
      <c r="U10" t="s">
        <v>83</v>
      </c>
    </row>
    <row r="11" spans="1:21" x14ac:dyDescent="0.2">
      <c r="A11">
        <v>20250826</v>
      </c>
      <c r="B11" t="s">
        <v>6</v>
      </c>
      <c r="C11" t="s">
        <v>26</v>
      </c>
      <c r="D11" s="5" t="s">
        <v>14</v>
      </c>
      <c r="E11" t="s">
        <v>23</v>
      </c>
      <c r="F11" t="s">
        <v>16</v>
      </c>
      <c r="G11">
        <v>509</v>
      </c>
      <c r="H11">
        <v>0</v>
      </c>
      <c r="I11">
        <v>61.82</v>
      </c>
      <c r="J11">
        <v>51.14</v>
      </c>
      <c r="K11">
        <v>29.23</v>
      </c>
      <c r="L11">
        <f>K11/I11</f>
        <v>0.47282432869621482</v>
      </c>
      <c r="M11">
        <f>J11/I11</f>
        <v>0.82724037528307992</v>
      </c>
      <c r="N11">
        <v>56.573999999999998</v>
      </c>
      <c r="O11">
        <v>43.432000000000002</v>
      </c>
      <c r="P11">
        <v>2.2789999999999999</v>
      </c>
      <c r="Q11">
        <v>3.3650000000000002</v>
      </c>
      <c r="R11">
        <f>Q11-P11</f>
        <v>1.0860000000000003</v>
      </c>
      <c r="S11" s="8">
        <f>(R11/(N11-O11))*100</f>
        <v>8.2635824075483235</v>
      </c>
      <c r="U11" t="s">
        <v>83</v>
      </c>
    </row>
    <row r="12" spans="1:21" x14ac:dyDescent="0.2">
      <c r="A12">
        <v>20250826</v>
      </c>
      <c r="B12" t="s">
        <v>6</v>
      </c>
      <c r="C12" t="s">
        <v>27</v>
      </c>
      <c r="D12" s="5" t="s">
        <v>14</v>
      </c>
      <c r="E12" t="s">
        <v>23</v>
      </c>
      <c r="F12" t="s">
        <v>16</v>
      </c>
      <c r="G12">
        <v>510</v>
      </c>
      <c r="U12" t="s">
        <v>82</v>
      </c>
    </row>
    <row r="13" spans="1:21" x14ac:dyDescent="0.2">
      <c r="A13">
        <v>20250826</v>
      </c>
      <c r="B13" t="s">
        <v>6</v>
      </c>
      <c r="C13" t="s">
        <v>28</v>
      </c>
      <c r="D13" s="5" t="s">
        <v>14</v>
      </c>
      <c r="E13" t="s">
        <v>23</v>
      </c>
      <c r="F13" t="s">
        <v>16</v>
      </c>
      <c r="G13">
        <v>511</v>
      </c>
      <c r="H13">
        <v>0</v>
      </c>
      <c r="I13">
        <v>71.069999999999993</v>
      </c>
      <c r="J13">
        <v>58.73</v>
      </c>
      <c r="K13">
        <v>29.63</v>
      </c>
      <c r="L13">
        <f>K13/I13</f>
        <v>0.41691290277191506</v>
      </c>
      <c r="M13">
        <f>J13/I13</f>
        <v>0.82636836921345158</v>
      </c>
      <c r="N13">
        <v>72.084000000000003</v>
      </c>
      <c r="O13">
        <v>46.807000000000002</v>
      </c>
      <c r="P13">
        <v>2.2309999999999999</v>
      </c>
      <c r="Q13">
        <v>4.1829999999999998</v>
      </c>
      <c r="R13">
        <f>Q13-P13</f>
        <v>1.952</v>
      </c>
      <c r="S13" s="8">
        <f>(R13/(N13-O13))*100</f>
        <v>7.7224354155952053</v>
      </c>
      <c r="U13" t="s">
        <v>83</v>
      </c>
    </row>
    <row r="14" spans="1:21" x14ac:dyDescent="0.2">
      <c r="A14">
        <v>20250826</v>
      </c>
      <c r="B14" t="s">
        <v>6</v>
      </c>
      <c r="C14" t="s">
        <v>29</v>
      </c>
      <c r="D14" s="5" t="s">
        <v>14</v>
      </c>
      <c r="E14" t="s">
        <v>15</v>
      </c>
      <c r="F14" t="s">
        <v>16</v>
      </c>
      <c r="G14">
        <v>512</v>
      </c>
      <c r="H14">
        <v>0</v>
      </c>
      <c r="I14">
        <v>57.67</v>
      </c>
      <c r="J14">
        <v>49.2</v>
      </c>
      <c r="K14">
        <v>21.69</v>
      </c>
      <c r="L14">
        <f>K14/I14</f>
        <v>0.37610542743194036</v>
      </c>
      <c r="M14">
        <f>J14/I14</f>
        <v>0.85312987688572917</v>
      </c>
      <c r="N14">
        <v>37.380000000000003</v>
      </c>
      <c r="O14">
        <v>24.306999999999999</v>
      </c>
      <c r="P14">
        <v>2.2240000000000002</v>
      </c>
      <c r="Q14">
        <v>3.1120000000000001</v>
      </c>
      <c r="R14">
        <f>Q14-P14</f>
        <v>0.8879999999999999</v>
      </c>
      <c r="S14" s="8">
        <f>(R14/(N14-O14))*100</f>
        <v>6.7926260231010449</v>
      </c>
      <c r="U14" t="s">
        <v>83</v>
      </c>
    </row>
    <row r="15" spans="1:21" x14ac:dyDescent="0.2">
      <c r="A15">
        <v>20250826</v>
      </c>
      <c r="B15" t="s">
        <v>6</v>
      </c>
      <c r="C15" t="s">
        <v>30</v>
      </c>
      <c r="D15" s="5" t="s">
        <v>14</v>
      </c>
      <c r="E15" t="s">
        <v>15</v>
      </c>
      <c r="F15" t="s">
        <v>16</v>
      </c>
      <c r="G15">
        <v>513</v>
      </c>
      <c r="H15">
        <v>0</v>
      </c>
      <c r="I15">
        <v>54.03</v>
      </c>
      <c r="J15">
        <v>48.3</v>
      </c>
      <c r="K15">
        <v>20.95</v>
      </c>
      <c r="L15">
        <f>K15/I15</f>
        <v>0.38774754765870811</v>
      </c>
      <c r="M15">
        <f>J15/I15</f>
        <v>0.89394780677401442</v>
      </c>
      <c r="N15">
        <v>36.908999999999999</v>
      </c>
      <c r="O15">
        <v>26.646000000000001</v>
      </c>
      <c r="P15">
        <v>2.2559999999999998</v>
      </c>
      <c r="Q15">
        <v>3.0169999999999999</v>
      </c>
      <c r="R15">
        <f>Q15-P15</f>
        <v>0.76100000000000012</v>
      </c>
      <c r="S15" s="8">
        <f>(R15/(N15-O15))*100</f>
        <v>7.4149858715775148</v>
      </c>
      <c r="U15" t="s">
        <v>83</v>
      </c>
    </row>
    <row r="16" spans="1:21" x14ac:dyDescent="0.2">
      <c r="A16">
        <v>20250826</v>
      </c>
      <c r="B16" t="s">
        <v>6</v>
      </c>
      <c r="C16" t="s">
        <v>31</v>
      </c>
      <c r="D16" s="5" t="s">
        <v>14</v>
      </c>
      <c r="E16" t="s">
        <v>15</v>
      </c>
      <c r="F16" t="s">
        <v>16</v>
      </c>
      <c r="G16">
        <v>514</v>
      </c>
      <c r="H16">
        <v>1</v>
      </c>
      <c r="U16" t="s">
        <v>82</v>
      </c>
    </row>
    <row r="17" spans="1:21" x14ac:dyDescent="0.2">
      <c r="A17">
        <v>20250826</v>
      </c>
      <c r="B17" t="s">
        <v>6</v>
      </c>
      <c r="C17" t="s">
        <v>32</v>
      </c>
      <c r="D17" s="5" t="s">
        <v>14</v>
      </c>
      <c r="E17" t="s">
        <v>15</v>
      </c>
      <c r="F17" t="s">
        <v>16</v>
      </c>
      <c r="G17">
        <v>515</v>
      </c>
      <c r="H17">
        <v>0</v>
      </c>
      <c r="I17">
        <v>55.23</v>
      </c>
      <c r="J17">
        <v>54.74</v>
      </c>
      <c r="K17">
        <v>31.04</v>
      </c>
      <c r="L17">
        <f t="shared" ref="L17:L23" si="0">K17/I17</f>
        <v>0.56201339851529963</v>
      </c>
      <c r="M17">
        <f t="shared" ref="M17:M23" si="1">J17/I17</f>
        <v>0.99112801013941709</v>
      </c>
      <c r="N17">
        <v>49.63</v>
      </c>
      <c r="O17">
        <v>32.384</v>
      </c>
      <c r="P17">
        <v>2.2120000000000002</v>
      </c>
      <c r="Q17">
        <v>3.4470000000000001</v>
      </c>
      <c r="R17">
        <f t="shared" ref="R17:R23" si="2">Q17-P17</f>
        <v>1.2349999999999999</v>
      </c>
      <c r="S17" s="8">
        <f t="shared" ref="S17:S23" si="3">(R17/(N17-O17))*100</f>
        <v>7.1610808303374682</v>
      </c>
      <c r="U17" t="s">
        <v>83</v>
      </c>
    </row>
    <row r="18" spans="1:21" x14ac:dyDescent="0.2">
      <c r="A18">
        <v>20250826</v>
      </c>
      <c r="B18" t="s">
        <v>6</v>
      </c>
      <c r="C18" t="s">
        <v>33</v>
      </c>
      <c r="D18" s="5" t="s">
        <v>14</v>
      </c>
      <c r="E18" t="s">
        <v>15</v>
      </c>
      <c r="F18" t="s">
        <v>16</v>
      </c>
      <c r="G18">
        <v>516</v>
      </c>
      <c r="H18">
        <v>0</v>
      </c>
      <c r="I18">
        <v>56.72</v>
      </c>
      <c r="J18">
        <v>45.99</v>
      </c>
      <c r="K18">
        <v>25.17</v>
      </c>
      <c r="L18">
        <f t="shared" si="0"/>
        <v>0.4437588152327222</v>
      </c>
      <c r="M18">
        <f t="shared" si="1"/>
        <v>0.81082510578279277</v>
      </c>
      <c r="N18">
        <v>42.215000000000003</v>
      </c>
      <c r="O18">
        <v>28.542000000000002</v>
      </c>
      <c r="P18">
        <v>2.254</v>
      </c>
      <c r="Q18">
        <v>3.2189999999999999</v>
      </c>
      <c r="R18">
        <f t="shared" si="2"/>
        <v>0.96499999999999986</v>
      </c>
      <c r="S18" s="8">
        <f t="shared" si="3"/>
        <v>7.057704965991368</v>
      </c>
      <c r="U18" t="s">
        <v>83</v>
      </c>
    </row>
    <row r="19" spans="1:21" x14ac:dyDescent="0.2">
      <c r="A19">
        <v>20250826</v>
      </c>
      <c r="B19" t="s">
        <v>6</v>
      </c>
      <c r="C19" t="s">
        <v>34</v>
      </c>
      <c r="D19" s="5" t="s">
        <v>14</v>
      </c>
      <c r="E19" t="s">
        <v>15</v>
      </c>
      <c r="F19" t="s">
        <v>16</v>
      </c>
      <c r="G19">
        <v>517</v>
      </c>
      <c r="H19">
        <v>0</v>
      </c>
      <c r="I19">
        <v>55.2</v>
      </c>
      <c r="J19">
        <v>43.79</v>
      </c>
      <c r="K19">
        <v>22.69</v>
      </c>
      <c r="L19">
        <f t="shared" si="0"/>
        <v>0.41105072463768116</v>
      </c>
      <c r="M19">
        <f t="shared" si="1"/>
        <v>0.79329710144927534</v>
      </c>
      <c r="N19">
        <v>39.485999999999997</v>
      </c>
      <c r="O19">
        <v>26.062000000000001</v>
      </c>
      <c r="P19">
        <v>2.258</v>
      </c>
      <c r="Q19">
        <v>3.302</v>
      </c>
      <c r="R19">
        <f t="shared" si="2"/>
        <v>1.044</v>
      </c>
      <c r="S19" s="8">
        <f t="shared" si="3"/>
        <v>7.7771156138259858</v>
      </c>
      <c r="U19" t="s">
        <v>83</v>
      </c>
    </row>
    <row r="20" spans="1:21" x14ac:dyDescent="0.2">
      <c r="A20">
        <v>20250826</v>
      </c>
      <c r="B20" t="s">
        <v>6</v>
      </c>
      <c r="C20" t="s">
        <v>35</v>
      </c>
      <c r="D20" s="5" t="s">
        <v>14</v>
      </c>
      <c r="E20" t="s">
        <v>23</v>
      </c>
      <c r="F20" t="s">
        <v>16</v>
      </c>
      <c r="G20">
        <v>518</v>
      </c>
      <c r="H20">
        <v>0</v>
      </c>
      <c r="I20">
        <v>67.650000000000006</v>
      </c>
      <c r="J20">
        <v>47.32</v>
      </c>
      <c r="K20">
        <v>30.86</v>
      </c>
      <c r="L20">
        <f t="shared" si="0"/>
        <v>0.4561714708056171</v>
      </c>
      <c r="M20">
        <f t="shared" si="1"/>
        <v>0.69948263118994825</v>
      </c>
      <c r="N20">
        <v>69.185000000000002</v>
      </c>
      <c r="O20">
        <v>48.064</v>
      </c>
      <c r="P20">
        <v>2.2559999999999998</v>
      </c>
      <c r="Q20">
        <v>5.0460000000000003</v>
      </c>
      <c r="R20">
        <f t="shared" si="2"/>
        <v>2.7900000000000005</v>
      </c>
      <c r="S20" s="8">
        <f t="shared" si="3"/>
        <v>13.209601818095734</v>
      </c>
      <c r="U20" t="s">
        <v>83</v>
      </c>
    </row>
    <row r="21" spans="1:21" x14ac:dyDescent="0.2">
      <c r="A21">
        <v>20250826</v>
      </c>
      <c r="B21" t="s">
        <v>6</v>
      </c>
      <c r="C21" t="s">
        <v>36</v>
      </c>
      <c r="D21" s="5" t="s">
        <v>14</v>
      </c>
      <c r="E21" t="s">
        <v>23</v>
      </c>
      <c r="F21" t="s">
        <v>16</v>
      </c>
      <c r="G21">
        <v>519</v>
      </c>
      <c r="H21">
        <v>0</v>
      </c>
      <c r="I21">
        <v>68.39</v>
      </c>
      <c r="J21">
        <v>47.15</v>
      </c>
      <c r="K21">
        <v>27.35</v>
      </c>
      <c r="L21">
        <f t="shared" si="0"/>
        <v>0.39991226787542039</v>
      </c>
      <c r="M21">
        <f t="shared" si="1"/>
        <v>0.68942827898815617</v>
      </c>
      <c r="N21">
        <v>70.850999999999999</v>
      </c>
      <c r="O21">
        <v>56.012999999999998</v>
      </c>
      <c r="P21">
        <v>2.2610000000000001</v>
      </c>
      <c r="Q21">
        <v>3.6070000000000002</v>
      </c>
      <c r="R21">
        <f t="shared" si="2"/>
        <v>1.3460000000000001</v>
      </c>
      <c r="S21" s="8">
        <f t="shared" si="3"/>
        <v>9.0713034101630949</v>
      </c>
      <c r="U21" t="s">
        <v>83</v>
      </c>
    </row>
    <row r="22" spans="1:21" x14ac:dyDescent="0.2">
      <c r="A22">
        <v>20250826</v>
      </c>
      <c r="B22" t="s">
        <v>6</v>
      </c>
      <c r="C22" t="s">
        <v>37</v>
      </c>
      <c r="D22" s="5" t="s">
        <v>14</v>
      </c>
      <c r="E22" t="s">
        <v>23</v>
      </c>
      <c r="F22" t="s">
        <v>16</v>
      </c>
      <c r="G22">
        <v>520</v>
      </c>
      <c r="H22">
        <v>0</v>
      </c>
      <c r="I22">
        <v>71.62</v>
      </c>
      <c r="J22">
        <v>55.54</v>
      </c>
      <c r="K22">
        <v>25.25</v>
      </c>
      <c r="L22">
        <f t="shared" si="0"/>
        <v>0.35255515219212508</v>
      </c>
      <c r="M22">
        <f t="shared" si="1"/>
        <v>0.77548170901982683</v>
      </c>
      <c r="N22">
        <v>63.402999999999999</v>
      </c>
      <c r="O22">
        <v>44.167000000000002</v>
      </c>
      <c r="P22">
        <v>2.2149999999999999</v>
      </c>
      <c r="Q22">
        <v>3.343</v>
      </c>
      <c r="R22">
        <f t="shared" si="2"/>
        <v>1.1280000000000001</v>
      </c>
      <c r="S22" s="8">
        <f t="shared" si="3"/>
        <v>5.8640049906425471</v>
      </c>
      <c r="U22" t="s">
        <v>83</v>
      </c>
    </row>
    <row r="23" spans="1:21" x14ac:dyDescent="0.2">
      <c r="A23">
        <v>20250826</v>
      </c>
      <c r="B23" t="s">
        <v>6</v>
      </c>
      <c r="C23" t="s">
        <v>38</v>
      </c>
      <c r="D23" s="5" t="s">
        <v>14</v>
      </c>
      <c r="E23" t="s">
        <v>23</v>
      </c>
      <c r="F23" t="s">
        <v>16</v>
      </c>
      <c r="G23">
        <v>521</v>
      </c>
      <c r="H23">
        <v>0</v>
      </c>
      <c r="I23">
        <v>75.64</v>
      </c>
      <c r="J23">
        <v>62.02</v>
      </c>
      <c r="K23">
        <v>29.21</v>
      </c>
      <c r="L23">
        <f t="shared" si="0"/>
        <v>0.38617133791644631</v>
      </c>
      <c r="M23">
        <f t="shared" si="1"/>
        <v>0.81993654151242734</v>
      </c>
      <c r="N23">
        <v>85.052000000000007</v>
      </c>
      <c r="O23">
        <v>62.655000000000001</v>
      </c>
      <c r="P23">
        <v>2.3039999999999998</v>
      </c>
      <c r="Q23">
        <v>3.4609999999999999</v>
      </c>
      <c r="R23">
        <f t="shared" si="2"/>
        <v>1.157</v>
      </c>
      <c r="S23" s="8">
        <f t="shared" si="3"/>
        <v>5.165870429075321</v>
      </c>
      <c r="U23" t="s">
        <v>83</v>
      </c>
    </row>
    <row r="24" spans="1:21" x14ac:dyDescent="0.2">
      <c r="A24">
        <v>20250826</v>
      </c>
      <c r="B24" t="s">
        <v>6</v>
      </c>
      <c r="C24" t="s">
        <v>39</v>
      </c>
      <c r="D24" s="5" t="s">
        <v>14</v>
      </c>
      <c r="E24" t="s">
        <v>23</v>
      </c>
      <c r="F24" t="s">
        <v>16</v>
      </c>
      <c r="G24">
        <v>522</v>
      </c>
      <c r="H24">
        <v>1</v>
      </c>
      <c r="I24">
        <v>47.18</v>
      </c>
      <c r="U24" t="s">
        <v>82</v>
      </c>
    </row>
    <row r="25" spans="1:21" x14ac:dyDescent="0.2">
      <c r="A25">
        <v>20250826</v>
      </c>
      <c r="B25" t="s">
        <v>6</v>
      </c>
      <c r="C25" t="s">
        <v>40</v>
      </c>
      <c r="D25" s="5" t="s">
        <v>14</v>
      </c>
      <c r="E25" t="s">
        <v>23</v>
      </c>
      <c r="F25" t="s">
        <v>16</v>
      </c>
      <c r="G25">
        <v>523</v>
      </c>
      <c r="H25">
        <v>0</v>
      </c>
      <c r="I25">
        <v>64.5</v>
      </c>
      <c r="J25">
        <v>50</v>
      </c>
      <c r="K25">
        <v>27.63</v>
      </c>
      <c r="L25">
        <f t="shared" ref="L25:L33" si="4">K25/I25</f>
        <v>0.4283720930232558</v>
      </c>
      <c r="M25">
        <f t="shared" ref="M25:M33" si="5">J25/I25</f>
        <v>0.77519379844961245</v>
      </c>
      <c r="N25">
        <v>62.07</v>
      </c>
      <c r="O25">
        <v>48.436999999999998</v>
      </c>
      <c r="P25">
        <v>2.2229999999999999</v>
      </c>
      <c r="Q25">
        <v>3.2170000000000001</v>
      </c>
      <c r="R25">
        <f t="shared" ref="R25:R33" si="6">Q25-P25</f>
        <v>0.99400000000000022</v>
      </c>
      <c r="S25" s="8">
        <f t="shared" ref="S25:S33" si="7">(R25/(N25-O25))*100</f>
        <v>7.2911318125137541</v>
      </c>
      <c r="U25" t="s">
        <v>83</v>
      </c>
    </row>
    <row r="26" spans="1:21" x14ac:dyDescent="0.2">
      <c r="A26">
        <v>20250826</v>
      </c>
      <c r="B26" t="s">
        <v>6</v>
      </c>
      <c r="C26" t="s">
        <v>41</v>
      </c>
      <c r="D26" s="5" t="s">
        <v>14</v>
      </c>
      <c r="E26" t="s">
        <v>15</v>
      </c>
      <c r="F26" t="s">
        <v>16</v>
      </c>
      <c r="G26">
        <v>524</v>
      </c>
      <c r="H26">
        <v>0</v>
      </c>
      <c r="I26">
        <v>66.650000000000006</v>
      </c>
      <c r="J26">
        <v>54.33</v>
      </c>
      <c r="K26">
        <v>27.57</v>
      </c>
      <c r="L26">
        <f t="shared" si="4"/>
        <v>0.41365341335333833</v>
      </c>
      <c r="M26">
        <f t="shared" si="5"/>
        <v>0.81515378844711173</v>
      </c>
      <c r="N26">
        <v>57.546999999999997</v>
      </c>
      <c r="O26">
        <v>43.328000000000003</v>
      </c>
      <c r="P26">
        <v>2.2629999999999999</v>
      </c>
      <c r="Q26">
        <v>4.3049999999999997</v>
      </c>
      <c r="R26">
        <f t="shared" si="6"/>
        <v>2.0419999999999998</v>
      </c>
      <c r="S26" s="8">
        <f t="shared" si="7"/>
        <v>14.361066179056198</v>
      </c>
      <c r="U26" t="s">
        <v>83</v>
      </c>
    </row>
    <row r="27" spans="1:21" x14ac:dyDescent="0.2">
      <c r="A27">
        <v>20250826</v>
      </c>
      <c r="B27" t="s">
        <v>6</v>
      </c>
      <c r="C27" t="s">
        <v>42</v>
      </c>
      <c r="D27" s="5" t="s">
        <v>14</v>
      </c>
      <c r="E27" t="s">
        <v>15</v>
      </c>
      <c r="F27" t="s">
        <v>16</v>
      </c>
      <c r="G27">
        <v>525</v>
      </c>
      <c r="H27">
        <v>0</v>
      </c>
      <c r="I27">
        <v>67.87</v>
      </c>
      <c r="J27">
        <v>53.63</v>
      </c>
      <c r="K27">
        <v>28.93</v>
      </c>
      <c r="L27">
        <f t="shared" si="4"/>
        <v>0.426256077795786</v>
      </c>
      <c r="M27">
        <f t="shared" si="5"/>
        <v>0.7901871224399587</v>
      </c>
      <c r="N27">
        <v>72.92</v>
      </c>
      <c r="O27">
        <v>51.316000000000003</v>
      </c>
      <c r="P27">
        <v>2.2999999999999998</v>
      </c>
      <c r="Q27">
        <v>4.4020000000000001</v>
      </c>
      <c r="R27">
        <f t="shared" si="6"/>
        <v>2.1020000000000003</v>
      </c>
      <c r="S27" s="8">
        <f t="shared" si="7"/>
        <v>9.7296796889464936</v>
      </c>
      <c r="U27" t="s">
        <v>83</v>
      </c>
    </row>
    <row r="28" spans="1:21" x14ac:dyDescent="0.2">
      <c r="A28">
        <v>20250826</v>
      </c>
      <c r="B28" t="s">
        <v>6</v>
      </c>
      <c r="C28" t="s">
        <v>43</v>
      </c>
      <c r="D28" s="5" t="s">
        <v>14</v>
      </c>
      <c r="E28" t="s">
        <v>15</v>
      </c>
      <c r="F28" t="s">
        <v>16</v>
      </c>
      <c r="G28">
        <v>526</v>
      </c>
      <c r="H28">
        <v>0</v>
      </c>
      <c r="I28">
        <v>63.8</v>
      </c>
      <c r="J28">
        <v>52.17</v>
      </c>
      <c r="K28">
        <v>23.69</v>
      </c>
      <c r="L28">
        <f t="shared" si="4"/>
        <v>0.37131661442006275</v>
      </c>
      <c r="M28">
        <f t="shared" si="5"/>
        <v>0.81771159874608157</v>
      </c>
      <c r="N28">
        <v>49.668999999999997</v>
      </c>
      <c r="O28">
        <v>36.094999999999999</v>
      </c>
      <c r="P28">
        <v>2.2229999999999999</v>
      </c>
      <c r="Q28">
        <v>3.1669999999999998</v>
      </c>
      <c r="R28">
        <f t="shared" si="6"/>
        <v>0.94399999999999995</v>
      </c>
      <c r="S28" s="8">
        <f t="shared" si="7"/>
        <v>6.9544717842935029</v>
      </c>
      <c r="U28" t="s">
        <v>83</v>
      </c>
    </row>
    <row r="29" spans="1:21" x14ac:dyDescent="0.2">
      <c r="A29">
        <v>20250826</v>
      </c>
      <c r="B29" t="s">
        <v>6</v>
      </c>
      <c r="C29" t="s">
        <v>44</v>
      </c>
      <c r="D29" s="5" t="s">
        <v>14</v>
      </c>
      <c r="E29" t="s">
        <v>15</v>
      </c>
      <c r="F29" t="s">
        <v>16</v>
      </c>
      <c r="G29">
        <v>527</v>
      </c>
      <c r="H29">
        <v>0</v>
      </c>
      <c r="I29">
        <v>54.12</v>
      </c>
      <c r="J29">
        <v>47.51</v>
      </c>
      <c r="K29">
        <v>23.8</v>
      </c>
      <c r="L29">
        <f t="shared" si="4"/>
        <v>0.4397634885439764</v>
      </c>
      <c r="M29">
        <f t="shared" si="5"/>
        <v>0.87786400591278646</v>
      </c>
      <c r="N29">
        <v>40.701999999999998</v>
      </c>
      <c r="O29">
        <v>28.844000000000001</v>
      </c>
      <c r="P29">
        <v>2.2690000000000001</v>
      </c>
      <c r="Q29">
        <v>3.0019999999999998</v>
      </c>
      <c r="R29">
        <f t="shared" si="6"/>
        <v>0.73299999999999965</v>
      </c>
      <c r="S29" s="8">
        <f t="shared" si="7"/>
        <v>6.1814808568055311</v>
      </c>
      <c r="U29" t="s">
        <v>83</v>
      </c>
    </row>
    <row r="30" spans="1:21" x14ac:dyDescent="0.2">
      <c r="A30">
        <v>20250826</v>
      </c>
      <c r="B30" t="s">
        <v>6</v>
      </c>
      <c r="C30" t="s">
        <v>45</v>
      </c>
      <c r="D30" s="5" t="s">
        <v>14</v>
      </c>
      <c r="E30" t="s">
        <v>15</v>
      </c>
      <c r="F30" t="s">
        <v>16</v>
      </c>
      <c r="G30">
        <v>528</v>
      </c>
      <c r="H30">
        <v>0</v>
      </c>
      <c r="I30">
        <v>59.28</v>
      </c>
      <c r="J30">
        <v>51.72</v>
      </c>
      <c r="K30">
        <v>29.09</v>
      </c>
      <c r="L30">
        <f t="shared" si="4"/>
        <v>0.49072199730094468</v>
      </c>
      <c r="M30">
        <f t="shared" si="5"/>
        <v>0.87246963562753033</v>
      </c>
      <c r="N30">
        <v>49.741</v>
      </c>
      <c r="O30">
        <v>36.764000000000003</v>
      </c>
      <c r="P30">
        <v>2.2370000000000001</v>
      </c>
      <c r="Q30">
        <v>3.4409999999999998</v>
      </c>
      <c r="R30">
        <f t="shared" si="6"/>
        <v>1.2039999999999997</v>
      </c>
      <c r="S30" s="8">
        <f t="shared" si="7"/>
        <v>9.27795330199584</v>
      </c>
      <c r="U30" t="s">
        <v>83</v>
      </c>
    </row>
    <row r="31" spans="1:21" x14ac:dyDescent="0.2">
      <c r="A31">
        <v>20250826</v>
      </c>
      <c r="B31" t="s">
        <v>6</v>
      </c>
      <c r="C31" t="s">
        <v>46</v>
      </c>
      <c r="D31" s="5" t="s">
        <v>14</v>
      </c>
      <c r="E31" t="s">
        <v>15</v>
      </c>
      <c r="F31" t="s">
        <v>16</v>
      </c>
      <c r="G31">
        <v>529</v>
      </c>
      <c r="H31">
        <v>0</v>
      </c>
      <c r="I31">
        <v>64.66</v>
      </c>
      <c r="J31">
        <v>49.78</v>
      </c>
      <c r="K31">
        <v>25.22</v>
      </c>
      <c r="L31">
        <f t="shared" si="4"/>
        <v>0.39004021033096198</v>
      </c>
      <c r="M31">
        <f t="shared" si="5"/>
        <v>0.76987318280235084</v>
      </c>
      <c r="N31">
        <v>48.49</v>
      </c>
      <c r="O31">
        <v>32.655999999999999</v>
      </c>
      <c r="P31">
        <v>2.2349999999999999</v>
      </c>
      <c r="Q31">
        <v>3.4460000000000002</v>
      </c>
      <c r="R31">
        <f t="shared" si="6"/>
        <v>1.2110000000000003</v>
      </c>
      <c r="S31" s="8">
        <f t="shared" si="7"/>
        <v>7.6480990274093736</v>
      </c>
      <c r="U31" t="s">
        <v>83</v>
      </c>
    </row>
    <row r="32" spans="1:21" x14ac:dyDescent="0.2">
      <c r="A32">
        <v>20250826</v>
      </c>
      <c r="B32" t="s">
        <v>6</v>
      </c>
      <c r="C32" t="s">
        <v>47</v>
      </c>
      <c r="D32" s="5" t="s">
        <v>14</v>
      </c>
      <c r="E32" t="s">
        <v>23</v>
      </c>
      <c r="F32" t="s">
        <v>16</v>
      </c>
      <c r="G32">
        <v>530</v>
      </c>
      <c r="H32">
        <v>0</v>
      </c>
      <c r="I32">
        <v>79.739999999999995</v>
      </c>
      <c r="J32">
        <v>61.25</v>
      </c>
      <c r="K32">
        <v>29.55</v>
      </c>
      <c r="L32">
        <f t="shared" si="4"/>
        <v>0.37057938299473292</v>
      </c>
      <c r="M32">
        <f t="shared" si="5"/>
        <v>0.76812139453222983</v>
      </c>
      <c r="N32">
        <v>94.811999999999998</v>
      </c>
      <c r="O32">
        <v>68.192999999999998</v>
      </c>
      <c r="P32">
        <v>2.2370000000000001</v>
      </c>
      <c r="Q32">
        <v>4.7839999999999998</v>
      </c>
      <c r="R32">
        <f t="shared" si="6"/>
        <v>2.5469999999999997</v>
      </c>
      <c r="S32" s="8">
        <f t="shared" si="7"/>
        <v>9.5683534317592684</v>
      </c>
      <c r="U32" t="s">
        <v>83</v>
      </c>
    </row>
    <row r="33" spans="1:21" x14ac:dyDescent="0.2">
      <c r="A33">
        <v>20250826</v>
      </c>
      <c r="B33" t="s">
        <v>6</v>
      </c>
      <c r="C33" t="s">
        <v>48</v>
      </c>
      <c r="D33" s="5" t="s">
        <v>14</v>
      </c>
      <c r="E33" t="s">
        <v>23</v>
      </c>
      <c r="F33" t="s">
        <v>16</v>
      </c>
      <c r="G33">
        <v>531</v>
      </c>
      <c r="H33">
        <v>0</v>
      </c>
      <c r="I33">
        <v>70.88</v>
      </c>
      <c r="J33">
        <v>54.09</v>
      </c>
      <c r="K33">
        <v>25.33</v>
      </c>
      <c r="L33">
        <f t="shared" si="4"/>
        <v>0.35736455981941312</v>
      </c>
      <c r="M33">
        <f t="shared" si="5"/>
        <v>0.76312076749435676</v>
      </c>
      <c r="N33">
        <v>72.548000000000002</v>
      </c>
      <c r="O33">
        <v>51.98</v>
      </c>
      <c r="P33">
        <v>2.2410000000000001</v>
      </c>
      <c r="Q33">
        <v>4.17</v>
      </c>
      <c r="R33">
        <f t="shared" si="6"/>
        <v>1.9289999999999998</v>
      </c>
      <c r="S33" s="8">
        <f t="shared" si="7"/>
        <v>9.3786464410735082</v>
      </c>
      <c r="U33" t="s">
        <v>83</v>
      </c>
    </row>
    <row r="34" spans="1:21" x14ac:dyDescent="0.2">
      <c r="A34">
        <v>20250826</v>
      </c>
      <c r="B34" t="s">
        <v>6</v>
      </c>
      <c r="C34" t="s">
        <v>49</v>
      </c>
      <c r="D34" s="5" t="s">
        <v>14</v>
      </c>
      <c r="E34" t="s">
        <v>23</v>
      </c>
      <c r="F34" t="s">
        <v>16</v>
      </c>
      <c r="G34">
        <v>532</v>
      </c>
      <c r="U34" t="s">
        <v>82</v>
      </c>
    </row>
    <row r="35" spans="1:21" x14ac:dyDescent="0.2">
      <c r="A35">
        <v>20250826</v>
      </c>
      <c r="B35" t="s">
        <v>6</v>
      </c>
      <c r="C35" t="s">
        <v>50</v>
      </c>
      <c r="D35" s="5" t="s">
        <v>14</v>
      </c>
      <c r="E35" t="s">
        <v>23</v>
      </c>
      <c r="F35" t="s">
        <v>16</v>
      </c>
      <c r="G35">
        <v>533</v>
      </c>
      <c r="H35">
        <v>0</v>
      </c>
      <c r="I35">
        <v>79.25</v>
      </c>
      <c r="J35">
        <v>55.67</v>
      </c>
      <c r="K35">
        <v>30.65</v>
      </c>
      <c r="L35">
        <f>K35/I35</f>
        <v>0.38675078864353313</v>
      </c>
      <c r="M35">
        <f>J35/I35</f>
        <v>0.70246056782334387</v>
      </c>
      <c r="N35">
        <v>85.075999999999993</v>
      </c>
      <c r="O35">
        <v>60.22</v>
      </c>
      <c r="P35">
        <v>2.254</v>
      </c>
      <c r="Q35">
        <v>5.14</v>
      </c>
      <c r="R35">
        <f>Q35-P35</f>
        <v>2.8859999999999997</v>
      </c>
      <c r="S35" s="8">
        <f>(R35/(N35-O35))*100</f>
        <v>11.610878661087867</v>
      </c>
      <c r="U35" t="s">
        <v>83</v>
      </c>
    </row>
    <row r="36" spans="1:21" x14ac:dyDescent="0.2">
      <c r="A36">
        <v>20250826</v>
      </c>
      <c r="B36" t="s">
        <v>6</v>
      </c>
      <c r="C36" t="s">
        <v>51</v>
      </c>
      <c r="D36" s="5" t="s">
        <v>14</v>
      </c>
      <c r="E36" t="s">
        <v>23</v>
      </c>
      <c r="F36" t="s">
        <v>16</v>
      </c>
      <c r="G36">
        <v>534</v>
      </c>
      <c r="H36">
        <v>1</v>
      </c>
      <c r="I36">
        <v>88.66</v>
      </c>
      <c r="U36" t="s">
        <v>82</v>
      </c>
    </row>
    <row r="37" spans="1:21" x14ac:dyDescent="0.2">
      <c r="A37">
        <v>20250826</v>
      </c>
      <c r="B37" t="s">
        <v>6</v>
      </c>
      <c r="C37" t="s">
        <v>52</v>
      </c>
      <c r="D37" s="5" t="s">
        <v>14</v>
      </c>
      <c r="E37" t="s">
        <v>23</v>
      </c>
      <c r="F37" t="s">
        <v>16</v>
      </c>
      <c r="G37">
        <v>535</v>
      </c>
      <c r="H37">
        <v>0</v>
      </c>
      <c r="I37">
        <v>56.07</v>
      </c>
      <c r="J37">
        <v>43.23</v>
      </c>
      <c r="K37">
        <v>24.3</v>
      </c>
      <c r="L37">
        <f>K37/I37</f>
        <v>0.4333868378812199</v>
      </c>
      <c r="M37">
        <f>J37/I37</f>
        <v>0.77100053504547883</v>
      </c>
      <c r="N37">
        <v>56.235999999999997</v>
      </c>
      <c r="O37">
        <v>37.433</v>
      </c>
      <c r="P37">
        <v>2.2650000000000001</v>
      </c>
      <c r="Q37">
        <v>3.5009999999999999</v>
      </c>
      <c r="R37">
        <f>Q37-P37</f>
        <v>1.2359999999999998</v>
      </c>
      <c r="S37" s="8">
        <f>(R37/(N37-O37))*100</f>
        <v>6.5734191352443752</v>
      </c>
      <c r="U37" t="s">
        <v>83</v>
      </c>
    </row>
    <row r="38" spans="1:21" x14ac:dyDescent="0.2">
      <c r="A38">
        <v>20250826</v>
      </c>
      <c r="B38" t="s">
        <v>6</v>
      </c>
      <c r="C38" t="s">
        <v>53</v>
      </c>
      <c r="D38" s="5" t="s">
        <v>14</v>
      </c>
      <c r="E38" t="s">
        <v>15</v>
      </c>
      <c r="F38" t="s">
        <v>16</v>
      </c>
      <c r="G38">
        <v>536</v>
      </c>
      <c r="H38">
        <v>1</v>
      </c>
      <c r="U38" t="s">
        <v>82</v>
      </c>
    </row>
    <row r="39" spans="1:21" x14ac:dyDescent="0.2">
      <c r="A39">
        <v>20250826</v>
      </c>
      <c r="B39" t="s">
        <v>6</v>
      </c>
      <c r="C39" t="s">
        <v>54</v>
      </c>
      <c r="D39" s="5" t="s">
        <v>14</v>
      </c>
      <c r="E39" t="s">
        <v>15</v>
      </c>
      <c r="F39" t="s">
        <v>16</v>
      </c>
      <c r="G39">
        <v>537</v>
      </c>
      <c r="H39">
        <v>0</v>
      </c>
      <c r="I39">
        <v>47.31</v>
      </c>
      <c r="J39">
        <v>37.78</v>
      </c>
      <c r="K39">
        <v>23.29</v>
      </c>
      <c r="L39">
        <f>K39/I39</f>
        <v>0.49228492919044597</v>
      </c>
      <c r="M39">
        <f>J39/I39</f>
        <v>0.79856267173958995</v>
      </c>
      <c r="N39">
        <v>30.045999999999999</v>
      </c>
      <c r="O39">
        <v>21.777000000000001</v>
      </c>
      <c r="P39">
        <v>2.2559999999999998</v>
      </c>
      <c r="Q39">
        <v>3.3889999999999998</v>
      </c>
      <c r="R39">
        <f>Q39-P39</f>
        <v>1.133</v>
      </c>
      <c r="S39" s="8">
        <f>(R39/(N39-O39))*100</f>
        <v>13.70177772402951</v>
      </c>
      <c r="U39" t="s">
        <v>83</v>
      </c>
    </row>
    <row r="40" spans="1:21" x14ac:dyDescent="0.2">
      <c r="A40">
        <v>20250826</v>
      </c>
      <c r="B40" t="s">
        <v>6</v>
      </c>
      <c r="C40" t="s">
        <v>55</v>
      </c>
      <c r="D40" s="5" t="s">
        <v>14</v>
      </c>
      <c r="E40" t="s">
        <v>15</v>
      </c>
      <c r="F40" t="s">
        <v>16</v>
      </c>
      <c r="G40">
        <v>538</v>
      </c>
      <c r="H40">
        <v>0</v>
      </c>
      <c r="I40">
        <v>69.180000000000007</v>
      </c>
      <c r="J40">
        <v>54.27</v>
      </c>
      <c r="K40">
        <v>25.4</v>
      </c>
      <c r="L40">
        <f>K40/I40</f>
        <v>0.36715813819022836</v>
      </c>
      <c r="M40">
        <f>J40/I40</f>
        <v>0.78447528187337379</v>
      </c>
      <c r="N40">
        <v>59.828000000000003</v>
      </c>
      <c r="O40">
        <v>39.094999999999999</v>
      </c>
      <c r="P40">
        <v>2.2320000000000002</v>
      </c>
      <c r="Q40">
        <v>3.6019999999999999</v>
      </c>
      <c r="R40">
        <f>Q40-P40</f>
        <v>1.3699999999999997</v>
      </c>
      <c r="S40" s="8">
        <f>(R40/(N40-O40))*100</f>
        <v>6.6078232769015548</v>
      </c>
      <c r="U40" t="s">
        <v>83</v>
      </c>
    </row>
    <row r="41" spans="1:21" x14ac:dyDescent="0.2">
      <c r="A41">
        <v>20250826</v>
      </c>
      <c r="B41" t="s">
        <v>6</v>
      </c>
      <c r="C41" t="s">
        <v>56</v>
      </c>
      <c r="D41" s="5" t="s">
        <v>14</v>
      </c>
      <c r="E41" t="s">
        <v>15</v>
      </c>
      <c r="F41" t="s">
        <v>16</v>
      </c>
      <c r="G41">
        <v>539</v>
      </c>
      <c r="H41">
        <v>0</v>
      </c>
      <c r="I41">
        <v>62.48</v>
      </c>
      <c r="J41">
        <v>45.25</v>
      </c>
      <c r="K41">
        <v>25.9</v>
      </c>
      <c r="L41">
        <f>K41/I41</f>
        <v>0.41453265044814341</v>
      </c>
      <c r="M41">
        <f>J41/I41</f>
        <v>0.72423175416133168</v>
      </c>
      <c r="N41">
        <v>45.954000000000001</v>
      </c>
      <c r="O41">
        <v>30.189</v>
      </c>
      <c r="P41">
        <v>2.2970000000000002</v>
      </c>
      <c r="Q41">
        <v>3.806</v>
      </c>
      <c r="R41">
        <f>Q41-P41</f>
        <v>1.5089999999999999</v>
      </c>
      <c r="S41" s="8">
        <f>(R41/(N41-O41))*100</f>
        <v>9.5718363463368199</v>
      </c>
      <c r="U41" t="s">
        <v>83</v>
      </c>
    </row>
    <row r="42" spans="1:21" x14ac:dyDescent="0.2">
      <c r="A42">
        <v>20250826</v>
      </c>
      <c r="B42" t="s">
        <v>6</v>
      </c>
      <c r="C42" t="s">
        <v>57</v>
      </c>
      <c r="D42" s="5" t="s">
        <v>14</v>
      </c>
      <c r="E42" t="s">
        <v>15</v>
      </c>
      <c r="F42" t="s">
        <v>16</v>
      </c>
      <c r="G42">
        <v>540</v>
      </c>
      <c r="H42">
        <v>1</v>
      </c>
      <c r="I42">
        <v>49.49</v>
      </c>
      <c r="S42" s="8"/>
      <c r="U42" t="s">
        <v>82</v>
      </c>
    </row>
    <row r="43" spans="1:21" x14ac:dyDescent="0.2">
      <c r="A43">
        <v>20250826</v>
      </c>
      <c r="B43" t="s">
        <v>6</v>
      </c>
      <c r="C43" t="s">
        <v>58</v>
      </c>
      <c r="D43" s="5" t="s">
        <v>14</v>
      </c>
      <c r="E43" t="s">
        <v>15</v>
      </c>
      <c r="F43" t="s">
        <v>16</v>
      </c>
      <c r="G43">
        <v>541</v>
      </c>
      <c r="H43">
        <v>0</v>
      </c>
      <c r="I43">
        <v>62.95</v>
      </c>
      <c r="J43">
        <v>50.58</v>
      </c>
      <c r="K43">
        <v>25.8</v>
      </c>
      <c r="L43">
        <f>K43/I43</f>
        <v>0.40984908657664815</v>
      </c>
      <c r="M43">
        <f>J43/I43</f>
        <v>0.80349483717235892</v>
      </c>
      <c r="N43">
        <v>47.533999999999999</v>
      </c>
      <c r="O43">
        <v>33.469000000000001</v>
      </c>
      <c r="P43">
        <v>2.2570000000000001</v>
      </c>
      <c r="Q43">
        <v>3.5</v>
      </c>
      <c r="R43">
        <f>Q43-P43</f>
        <v>1.2429999999999999</v>
      </c>
      <c r="S43" s="8">
        <f>(R43/(N43-O43))*100</f>
        <v>8.8375399928901537</v>
      </c>
      <c r="U43" t="s">
        <v>83</v>
      </c>
    </row>
    <row r="44" spans="1:21" x14ac:dyDescent="0.2">
      <c r="A44">
        <v>20250826</v>
      </c>
      <c r="B44" t="s">
        <v>59</v>
      </c>
      <c r="C44" t="s">
        <v>7</v>
      </c>
      <c r="D44" s="5" t="s">
        <v>14</v>
      </c>
      <c r="E44" t="s">
        <v>23</v>
      </c>
      <c r="F44" t="s">
        <v>16</v>
      </c>
      <c r="G44">
        <v>542</v>
      </c>
      <c r="H44">
        <v>0</v>
      </c>
      <c r="I44">
        <v>80.930000000000007</v>
      </c>
      <c r="J44">
        <v>56.44</v>
      </c>
      <c r="K44">
        <v>28.07</v>
      </c>
      <c r="L44">
        <f>K44/I44</f>
        <v>0.34684295069813414</v>
      </c>
      <c r="M44">
        <f>J44/I44</f>
        <v>0.69739280860002462</v>
      </c>
      <c r="N44">
        <v>84.337000000000003</v>
      </c>
      <c r="O44">
        <v>57.034999999999997</v>
      </c>
      <c r="P44">
        <v>2.2429999999999999</v>
      </c>
      <c r="Q44">
        <v>2.7719999999999998</v>
      </c>
      <c r="R44">
        <f>Q44-P44</f>
        <v>0.52899999999999991</v>
      </c>
      <c r="S44" s="8">
        <f>(R44/(N44-O44))*100</f>
        <v>1.9375869899641043</v>
      </c>
      <c r="U44" t="s">
        <v>83</v>
      </c>
    </row>
    <row r="45" spans="1:21" x14ac:dyDescent="0.2">
      <c r="A45">
        <v>20250826</v>
      </c>
      <c r="B45" t="s">
        <v>59</v>
      </c>
      <c r="C45" t="s">
        <v>8</v>
      </c>
      <c r="D45" s="5" t="s">
        <v>14</v>
      </c>
      <c r="E45" t="s">
        <v>23</v>
      </c>
      <c r="F45" t="s">
        <v>16</v>
      </c>
      <c r="G45">
        <v>543</v>
      </c>
      <c r="H45">
        <v>0</v>
      </c>
      <c r="I45">
        <v>69.819999999999993</v>
      </c>
      <c r="J45">
        <v>56.32</v>
      </c>
      <c r="K45">
        <v>28.35</v>
      </c>
      <c r="L45">
        <f>K45/I45</f>
        <v>0.40604411343454605</v>
      </c>
      <c r="M45">
        <f>J45/I45</f>
        <v>0.80664566026926388</v>
      </c>
      <c r="N45">
        <v>75.054000000000002</v>
      </c>
      <c r="O45">
        <v>52.311999999999998</v>
      </c>
      <c r="P45">
        <v>2.2919999999999998</v>
      </c>
      <c r="Q45">
        <v>4.5339999999999998</v>
      </c>
      <c r="R45">
        <f>Q45-P45</f>
        <v>2.242</v>
      </c>
      <c r="S45" s="8">
        <f>(R45/(N45-O45))*100</f>
        <v>9.8584117491865264</v>
      </c>
      <c r="U45" t="s">
        <v>83</v>
      </c>
    </row>
    <row r="46" spans="1:21" x14ac:dyDescent="0.2">
      <c r="A46">
        <v>20250826</v>
      </c>
      <c r="B46" t="s">
        <v>59</v>
      </c>
      <c r="C46" t="s">
        <v>9</v>
      </c>
      <c r="D46" s="5" t="s">
        <v>14</v>
      </c>
      <c r="E46" t="s">
        <v>23</v>
      </c>
      <c r="F46" t="s">
        <v>16</v>
      </c>
      <c r="G46">
        <v>544</v>
      </c>
      <c r="H46">
        <v>1</v>
      </c>
      <c r="I46">
        <v>63.13</v>
      </c>
      <c r="U46" t="s">
        <v>82</v>
      </c>
    </row>
    <row r="47" spans="1:21" x14ac:dyDescent="0.2">
      <c r="A47">
        <v>20250826</v>
      </c>
      <c r="B47" t="s">
        <v>59</v>
      </c>
      <c r="C47" t="s">
        <v>10</v>
      </c>
      <c r="D47" s="5" t="s">
        <v>14</v>
      </c>
      <c r="E47" t="s">
        <v>23</v>
      </c>
      <c r="F47" t="s">
        <v>16</v>
      </c>
      <c r="G47">
        <v>545</v>
      </c>
      <c r="H47">
        <v>0</v>
      </c>
      <c r="I47">
        <v>73.64</v>
      </c>
      <c r="J47">
        <v>55.89</v>
      </c>
      <c r="K47">
        <v>31.56</v>
      </c>
      <c r="L47">
        <f>K47/I47</f>
        <v>0.42857142857142855</v>
      </c>
      <c r="M47">
        <f>J47/I47</f>
        <v>0.75896252036936451</v>
      </c>
      <c r="N47">
        <v>84.326999999999998</v>
      </c>
      <c r="O47">
        <v>54.19</v>
      </c>
      <c r="P47">
        <v>2.234</v>
      </c>
      <c r="Q47">
        <v>4.8090000000000002</v>
      </c>
      <c r="R47">
        <f>Q47-P47</f>
        <v>2.5750000000000002</v>
      </c>
      <c r="S47" s="8">
        <f>(R47/(N47-O47))*100</f>
        <v>8.5443142980389553</v>
      </c>
      <c r="U47" t="s">
        <v>83</v>
      </c>
    </row>
    <row r="48" spans="1:21" x14ac:dyDescent="0.2">
      <c r="A48">
        <v>20250826</v>
      </c>
      <c r="B48" t="s">
        <v>59</v>
      </c>
      <c r="C48" t="s">
        <v>11</v>
      </c>
      <c r="D48" s="5" t="s">
        <v>14</v>
      </c>
      <c r="E48" t="s">
        <v>23</v>
      </c>
      <c r="F48" t="s">
        <v>16</v>
      </c>
      <c r="G48">
        <v>546</v>
      </c>
      <c r="H48">
        <v>1</v>
      </c>
      <c r="I48">
        <v>68.540000000000006</v>
      </c>
      <c r="U48" t="s">
        <v>82</v>
      </c>
    </row>
    <row r="49" spans="1:21" x14ac:dyDescent="0.2">
      <c r="A49">
        <v>20250826</v>
      </c>
      <c r="B49" t="s">
        <v>59</v>
      </c>
      <c r="C49" t="s">
        <v>12</v>
      </c>
      <c r="D49" s="5" t="s">
        <v>14</v>
      </c>
      <c r="E49" t="s">
        <v>23</v>
      </c>
      <c r="F49" t="s">
        <v>16</v>
      </c>
      <c r="G49">
        <v>547</v>
      </c>
      <c r="H49">
        <v>0</v>
      </c>
      <c r="I49">
        <v>71.66</v>
      </c>
      <c r="J49">
        <v>56</v>
      </c>
      <c r="K49">
        <v>30.55</v>
      </c>
      <c r="L49">
        <f>K49/I49</f>
        <v>0.42631872732347198</v>
      </c>
      <c r="M49">
        <f>J49/I49</f>
        <v>0.78146804353893384</v>
      </c>
      <c r="N49">
        <v>78.372</v>
      </c>
      <c r="O49">
        <v>55.081000000000003</v>
      </c>
      <c r="P49">
        <v>2.2530000000000001</v>
      </c>
      <c r="Q49">
        <v>4.8520000000000003</v>
      </c>
      <c r="R49">
        <f>Q49-P49</f>
        <v>2.5990000000000002</v>
      </c>
      <c r="S49" s="8">
        <f>(R49/(N49-O49))*100</f>
        <v>11.158816710317291</v>
      </c>
      <c r="U49" t="s">
        <v>83</v>
      </c>
    </row>
    <row r="50" spans="1:21" x14ac:dyDescent="0.2">
      <c r="A50">
        <v>20250826</v>
      </c>
      <c r="B50" t="s">
        <v>59</v>
      </c>
      <c r="C50" t="s">
        <v>13</v>
      </c>
      <c r="D50" s="5" t="s">
        <v>14</v>
      </c>
      <c r="E50" t="s">
        <v>15</v>
      </c>
      <c r="F50" t="s">
        <v>16</v>
      </c>
      <c r="G50">
        <v>548</v>
      </c>
      <c r="H50">
        <v>0</v>
      </c>
      <c r="I50">
        <v>54.83</v>
      </c>
      <c r="J50">
        <v>41.99</v>
      </c>
      <c r="K50">
        <v>25.59</v>
      </c>
      <c r="L50">
        <f>K50/I50</f>
        <v>0.46671530184205728</v>
      </c>
      <c r="M50">
        <f>J50/I50</f>
        <v>0.765821630494255</v>
      </c>
      <c r="N50">
        <v>42.784999999999997</v>
      </c>
      <c r="O50">
        <v>31.588000000000001</v>
      </c>
      <c r="P50">
        <v>2.2639999999999998</v>
      </c>
      <c r="Q50">
        <v>3.1760000000000002</v>
      </c>
      <c r="R50">
        <f>Q50-P50</f>
        <v>0.91200000000000037</v>
      </c>
      <c r="S50" s="8">
        <f>(R50/(N50-O50))*100</f>
        <v>8.145038849691888</v>
      </c>
      <c r="U50" t="s">
        <v>83</v>
      </c>
    </row>
    <row r="51" spans="1:21" x14ac:dyDescent="0.2">
      <c r="A51">
        <v>20250826</v>
      </c>
      <c r="B51" t="s">
        <v>59</v>
      </c>
      <c r="C51" t="s">
        <v>17</v>
      </c>
      <c r="D51" s="5" t="s">
        <v>14</v>
      </c>
      <c r="E51" t="s">
        <v>15</v>
      </c>
      <c r="F51" t="s">
        <v>16</v>
      </c>
      <c r="G51">
        <v>549</v>
      </c>
      <c r="H51">
        <v>0</v>
      </c>
      <c r="I51">
        <v>57.19</v>
      </c>
      <c r="J51">
        <v>50.33</v>
      </c>
      <c r="K51">
        <v>23.73</v>
      </c>
      <c r="L51">
        <f>K51/I51</f>
        <v>0.4149326805385557</v>
      </c>
      <c r="M51">
        <f>J51/I51</f>
        <v>0.88004895960832319</v>
      </c>
      <c r="N51">
        <v>42.930999999999997</v>
      </c>
      <c r="O51">
        <v>28.111000000000001</v>
      </c>
      <c r="P51">
        <v>2.2109999999999999</v>
      </c>
      <c r="Q51">
        <v>3.367</v>
      </c>
      <c r="R51">
        <f>Q51-P51</f>
        <v>1.1560000000000001</v>
      </c>
      <c r="S51" s="8">
        <f>(R51/(N51-O51))*100</f>
        <v>7.8002699055330664</v>
      </c>
      <c r="U51" t="s">
        <v>83</v>
      </c>
    </row>
    <row r="52" spans="1:21" x14ac:dyDescent="0.2">
      <c r="A52">
        <v>20250826</v>
      </c>
      <c r="B52" t="s">
        <v>59</v>
      </c>
      <c r="C52" t="s">
        <v>18</v>
      </c>
      <c r="D52" s="5" t="s">
        <v>14</v>
      </c>
      <c r="E52" t="s">
        <v>15</v>
      </c>
      <c r="F52" t="s">
        <v>16</v>
      </c>
      <c r="G52">
        <v>550</v>
      </c>
      <c r="U52" t="s">
        <v>82</v>
      </c>
    </row>
    <row r="53" spans="1:21" x14ac:dyDescent="0.2">
      <c r="A53">
        <v>20250826</v>
      </c>
      <c r="B53" t="s">
        <v>59</v>
      </c>
      <c r="C53" t="s">
        <v>19</v>
      </c>
      <c r="D53" s="5" t="s">
        <v>14</v>
      </c>
      <c r="E53" t="s">
        <v>15</v>
      </c>
      <c r="F53" t="s">
        <v>16</v>
      </c>
      <c r="G53">
        <v>551</v>
      </c>
      <c r="H53">
        <v>0</v>
      </c>
      <c r="I53">
        <v>58.55</v>
      </c>
      <c r="J53">
        <v>52.32</v>
      </c>
      <c r="K53">
        <v>28.96</v>
      </c>
      <c r="L53">
        <f>K53/I53</f>
        <v>0.49461998292058074</v>
      </c>
      <c r="M53">
        <f>J53/I53</f>
        <v>0.89359521776259609</v>
      </c>
      <c r="N53">
        <v>67.063999999999993</v>
      </c>
      <c r="O53">
        <v>40.710999999999999</v>
      </c>
      <c r="P53">
        <v>2.31</v>
      </c>
      <c r="Q53">
        <v>3.9569999999999999</v>
      </c>
      <c r="R53">
        <f>Q53-P53</f>
        <v>1.6469999999999998</v>
      </c>
      <c r="S53" s="8">
        <f>(R53/(N53-O53))*100</f>
        <v>6.2497628353508148</v>
      </c>
      <c r="U53" t="s">
        <v>83</v>
      </c>
    </row>
    <row r="54" spans="1:21" x14ac:dyDescent="0.2">
      <c r="A54">
        <v>20250826</v>
      </c>
      <c r="B54" t="s">
        <v>59</v>
      </c>
      <c r="C54" t="s">
        <v>20</v>
      </c>
      <c r="D54" s="5" t="s">
        <v>14</v>
      </c>
      <c r="E54" t="s">
        <v>15</v>
      </c>
      <c r="F54" t="s">
        <v>16</v>
      </c>
      <c r="G54">
        <v>552</v>
      </c>
      <c r="H54">
        <v>0</v>
      </c>
      <c r="I54">
        <v>66.84</v>
      </c>
      <c r="J54">
        <v>53.36</v>
      </c>
      <c r="K54">
        <v>25.02</v>
      </c>
      <c r="L54">
        <f>K54/I54</f>
        <v>0.37432675044883301</v>
      </c>
      <c r="M54">
        <f>J54/I54</f>
        <v>0.798324356672651</v>
      </c>
      <c r="N54">
        <v>54.575000000000003</v>
      </c>
      <c r="O54">
        <v>37.832000000000001</v>
      </c>
      <c r="P54">
        <v>2.2770000000000001</v>
      </c>
      <c r="Q54">
        <v>3.83</v>
      </c>
      <c r="R54">
        <f>Q54-P54</f>
        <v>1.5529999999999999</v>
      </c>
      <c r="S54" s="8">
        <f>(R54/(N54-O54))*100</f>
        <v>9.2755181269784366</v>
      </c>
      <c r="U54" t="s">
        <v>83</v>
      </c>
    </row>
    <row r="55" spans="1:21" x14ac:dyDescent="0.2">
      <c r="A55">
        <v>20250826</v>
      </c>
      <c r="B55" t="s">
        <v>59</v>
      </c>
      <c r="C55" t="s">
        <v>21</v>
      </c>
      <c r="D55" s="5" t="s">
        <v>14</v>
      </c>
      <c r="E55" t="s">
        <v>15</v>
      </c>
      <c r="F55" t="s">
        <v>16</v>
      </c>
      <c r="G55">
        <v>553</v>
      </c>
      <c r="H55">
        <v>0</v>
      </c>
      <c r="I55">
        <v>54.66</v>
      </c>
      <c r="J55">
        <v>48</v>
      </c>
      <c r="K55">
        <v>28.45</v>
      </c>
      <c r="L55">
        <f>K55/I55</f>
        <v>0.5204903036955727</v>
      </c>
      <c r="M55">
        <f>J55/I55</f>
        <v>0.87815587266739847</v>
      </c>
      <c r="N55">
        <v>49.012999999999998</v>
      </c>
      <c r="O55">
        <v>36.106999999999999</v>
      </c>
      <c r="P55">
        <v>2.2189999999999999</v>
      </c>
      <c r="Q55">
        <v>3.2290000000000001</v>
      </c>
      <c r="R55">
        <f>Q55-P55</f>
        <v>1.0100000000000002</v>
      </c>
      <c r="S55" s="8">
        <f>(R55/(N55-O55))*100</f>
        <v>7.8258174492484134</v>
      </c>
      <c r="U55" t="s">
        <v>83</v>
      </c>
    </row>
    <row r="56" spans="1:21" x14ac:dyDescent="0.2">
      <c r="A56">
        <v>20250826</v>
      </c>
      <c r="B56" t="s">
        <v>59</v>
      </c>
      <c r="C56" t="s">
        <v>22</v>
      </c>
      <c r="D56" s="5" t="s">
        <v>14</v>
      </c>
      <c r="E56" t="s">
        <v>23</v>
      </c>
      <c r="F56" t="s">
        <v>16</v>
      </c>
      <c r="G56">
        <v>554</v>
      </c>
      <c r="H56">
        <v>1</v>
      </c>
      <c r="I56">
        <v>47.42</v>
      </c>
      <c r="U56" t="s">
        <v>82</v>
      </c>
    </row>
    <row r="57" spans="1:21" x14ac:dyDescent="0.2">
      <c r="A57">
        <v>20250826</v>
      </c>
      <c r="B57" t="s">
        <v>59</v>
      </c>
      <c r="C57" t="s">
        <v>24</v>
      </c>
      <c r="D57" s="5" t="s">
        <v>14</v>
      </c>
      <c r="E57" t="s">
        <v>23</v>
      </c>
      <c r="F57" t="s">
        <v>16</v>
      </c>
      <c r="G57">
        <v>555</v>
      </c>
      <c r="H57">
        <v>0</v>
      </c>
      <c r="I57" s="6">
        <v>79.680000000000007</v>
      </c>
      <c r="J57" s="6">
        <v>63.9</v>
      </c>
      <c r="K57" s="6">
        <v>29.12</v>
      </c>
      <c r="L57" s="6">
        <v>0.36546200000000001</v>
      </c>
      <c r="M57" s="6">
        <v>0.80195799999999995</v>
      </c>
      <c r="N57" s="6">
        <v>98.155000000000001</v>
      </c>
      <c r="O57" s="6">
        <v>69.19</v>
      </c>
      <c r="P57" s="6">
        <v>2.2130000000000001</v>
      </c>
      <c r="Q57" s="6">
        <v>5.577</v>
      </c>
      <c r="R57" s="6">
        <v>3.3639999999999999</v>
      </c>
      <c r="S57" s="7">
        <v>11.61</v>
      </c>
      <c r="U57" t="s">
        <v>83</v>
      </c>
    </row>
    <row r="58" spans="1:21" x14ac:dyDescent="0.2">
      <c r="A58">
        <v>20250826</v>
      </c>
      <c r="B58" t="s">
        <v>59</v>
      </c>
      <c r="C58" t="s">
        <v>25</v>
      </c>
      <c r="D58" s="5" t="s">
        <v>14</v>
      </c>
      <c r="E58" t="s">
        <v>23</v>
      </c>
      <c r="F58" t="s">
        <v>16</v>
      </c>
      <c r="G58">
        <v>556</v>
      </c>
      <c r="H58">
        <v>0</v>
      </c>
      <c r="I58" s="6">
        <v>72.14</v>
      </c>
      <c r="J58" s="6">
        <v>60.1</v>
      </c>
      <c r="K58" s="6">
        <v>32.01</v>
      </c>
      <c r="L58" s="6">
        <v>0.44372099999999998</v>
      </c>
      <c r="M58" s="6">
        <v>0.83310200000000001</v>
      </c>
      <c r="N58" s="6">
        <v>79.489999999999995</v>
      </c>
      <c r="O58" s="6">
        <v>58.393999999999998</v>
      </c>
      <c r="P58" s="6">
        <v>2.2170000000000001</v>
      </c>
      <c r="Q58" s="6">
        <v>4.5880000000000001</v>
      </c>
      <c r="R58" s="6">
        <v>2.371</v>
      </c>
      <c r="S58" s="7">
        <v>11.24</v>
      </c>
      <c r="U58" t="s">
        <v>83</v>
      </c>
    </row>
    <row r="59" spans="1:21" x14ac:dyDescent="0.2">
      <c r="A59">
        <v>20250826</v>
      </c>
      <c r="B59" t="s">
        <v>59</v>
      </c>
      <c r="C59" t="s">
        <v>26</v>
      </c>
      <c r="D59" s="5" t="s">
        <v>14</v>
      </c>
      <c r="E59" t="s">
        <v>23</v>
      </c>
      <c r="F59" t="s">
        <v>16</v>
      </c>
      <c r="G59">
        <v>557</v>
      </c>
      <c r="H59">
        <v>0</v>
      </c>
      <c r="I59" s="6">
        <v>64.39</v>
      </c>
      <c r="J59" s="6">
        <v>49.45</v>
      </c>
      <c r="K59" s="6">
        <v>32.9</v>
      </c>
      <c r="L59" s="6">
        <v>0.51094899999999999</v>
      </c>
      <c r="M59" s="6">
        <v>0.76797599999999999</v>
      </c>
      <c r="N59" s="6">
        <v>67.149000000000001</v>
      </c>
      <c r="O59" s="6">
        <v>45.658000000000001</v>
      </c>
      <c r="P59" s="6">
        <v>2.2450000000000001</v>
      </c>
      <c r="Q59" s="6">
        <v>4.53</v>
      </c>
      <c r="R59" s="6">
        <v>2.2850000000000001</v>
      </c>
      <c r="S59" s="7">
        <v>10.63</v>
      </c>
      <c r="U59" t="s">
        <v>83</v>
      </c>
    </row>
    <row r="60" spans="1:21" x14ac:dyDescent="0.2">
      <c r="A60">
        <v>20250826</v>
      </c>
      <c r="B60" t="s">
        <v>59</v>
      </c>
      <c r="C60" t="s">
        <v>27</v>
      </c>
      <c r="D60" s="5" t="s">
        <v>14</v>
      </c>
      <c r="E60" t="s">
        <v>23</v>
      </c>
      <c r="F60" t="s">
        <v>16</v>
      </c>
      <c r="G60">
        <v>558</v>
      </c>
      <c r="H60">
        <v>0</v>
      </c>
      <c r="I60" s="6">
        <v>69.86</v>
      </c>
      <c r="J60" s="6">
        <v>49.35</v>
      </c>
      <c r="K60" s="6">
        <v>26.62</v>
      </c>
      <c r="L60" s="6">
        <v>0.381048</v>
      </c>
      <c r="M60" s="6">
        <v>0.70641299999999996</v>
      </c>
      <c r="N60" s="6">
        <v>64.113</v>
      </c>
      <c r="O60" s="6">
        <v>43.77</v>
      </c>
      <c r="P60" s="6">
        <v>2.246</v>
      </c>
      <c r="Q60" s="6">
        <v>3.798</v>
      </c>
      <c r="R60" s="6">
        <v>1.552</v>
      </c>
      <c r="S60" s="7">
        <v>7.63</v>
      </c>
      <c r="U60" t="s">
        <v>83</v>
      </c>
    </row>
    <row r="61" spans="1:21" x14ac:dyDescent="0.2">
      <c r="A61">
        <v>20250826</v>
      </c>
      <c r="B61" t="s">
        <v>59</v>
      </c>
      <c r="C61" t="s">
        <v>28</v>
      </c>
      <c r="D61" s="5" t="s">
        <v>14</v>
      </c>
      <c r="E61" t="s">
        <v>23</v>
      </c>
      <c r="F61" t="s">
        <v>16</v>
      </c>
      <c r="G61">
        <v>559</v>
      </c>
      <c r="H61">
        <v>0</v>
      </c>
      <c r="I61" s="6">
        <v>89.66</v>
      </c>
      <c r="J61" s="6">
        <v>59.4</v>
      </c>
      <c r="K61" s="6">
        <v>30.57</v>
      </c>
      <c r="L61" s="6">
        <v>0.34095500000000001</v>
      </c>
      <c r="M61" s="6">
        <v>0.66250299999999995</v>
      </c>
      <c r="N61" s="6">
        <v>101.6</v>
      </c>
      <c r="O61" s="6">
        <v>70.938000000000002</v>
      </c>
      <c r="P61" s="6">
        <v>2.27</v>
      </c>
      <c r="Q61" s="6">
        <v>5.4710000000000001</v>
      </c>
      <c r="R61" s="6">
        <v>3.2010000000000001</v>
      </c>
      <c r="S61" s="7">
        <v>10.44</v>
      </c>
      <c r="U61" t="s">
        <v>83</v>
      </c>
    </row>
    <row r="62" spans="1:21" x14ac:dyDescent="0.2">
      <c r="A62">
        <v>20250826</v>
      </c>
      <c r="B62" t="s">
        <v>59</v>
      </c>
      <c r="C62" t="s">
        <v>29</v>
      </c>
      <c r="D62" s="5" t="s">
        <v>14</v>
      </c>
      <c r="E62" t="s">
        <v>15</v>
      </c>
      <c r="F62" t="s">
        <v>16</v>
      </c>
      <c r="G62">
        <v>560</v>
      </c>
      <c r="H62">
        <v>0</v>
      </c>
      <c r="I62" s="6">
        <v>59.85</v>
      </c>
      <c r="J62" s="6">
        <v>46</v>
      </c>
      <c r="K62" s="6">
        <v>34.04</v>
      </c>
      <c r="L62" s="6">
        <v>0.56875500000000001</v>
      </c>
      <c r="M62" s="6">
        <v>0.76858800000000005</v>
      </c>
      <c r="N62" s="6">
        <v>47.02</v>
      </c>
      <c r="O62" s="6">
        <v>32.893999999999998</v>
      </c>
      <c r="P62" s="6">
        <v>2.25</v>
      </c>
      <c r="Q62" s="6">
        <v>3.2759999999999998</v>
      </c>
      <c r="R62" s="6">
        <v>1.026</v>
      </c>
      <c r="S62" s="7">
        <v>7.26</v>
      </c>
      <c r="U62" t="s">
        <v>83</v>
      </c>
    </row>
    <row r="63" spans="1:21" x14ac:dyDescent="0.2">
      <c r="A63">
        <v>20250826</v>
      </c>
      <c r="B63" t="s">
        <v>59</v>
      </c>
      <c r="C63" t="s">
        <v>30</v>
      </c>
      <c r="D63" s="5" t="s">
        <v>14</v>
      </c>
      <c r="E63" t="s">
        <v>15</v>
      </c>
      <c r="F63" t="s">
        <v>16</v>
      </c>
      <c r="G63">
        <v>561</v>
      </c>
      <c r="H63">
        <v>0</v>
      </c>
      <c r="I63" s="6">
        <v>69.17</v>
      </c>
      <c r="J63" s="6">
        <v>58.05</v>
      </c>
      <c r="K63" s="6">
        <v>26.7</v>
      </c>
      <c r="L63" s="6">
        <v>0.38600499999999999</v>
      </c>
      <c r="M63" s="6">
        <v>0.83923700000000001</v>
      </c>
      <c r="N63" s="6">
        <v>60.848999999999997</v>
      </c>
      <c r="O63" s="6">
        <v>43.271000000000001</v>
      </c>
      <c r="P63" s="6">
        <v>2.2450000000000001</v>
      </c>
      <c r="Q63" s="6">
        <v>3.6160000000000001</v>
      </c>
      <c r="R63" s="6">
        <v>1.371</v>
      </c>
      <c r="S63" s="7">
        <v>7.8</v>
      </c>
      <c r="U63" t="s">
        <v>83</v>
      </c>
    </row>
    <row r="64" spans="1:21" x14ac:dyDescent="0.2">
      <c r="A64">
        <v>20250826</v>
      </c>
      <c r="B64" t="s">
        <v>59</v>
      </c>
      <c r="C64" t="s">
        <v>31</v>
      </c>
      <c r="D64" s="5" t="s">
        <v>14</v>
      </c>
      <c r="E64" t="s">
        <v>15</v>
      </c>
      <c r="F64" t="s">
        <v>16</v>
      </c>
      <c r="G64">
        <v>562</v>
      </c>
      <c r="U64" t="s">
        <v>82</v>
      </c>
    </row>
    <row r="65" spans="1:21" x14ac:dyDescent="0.2">
      <c r="A65">
        <v>20250826</v>
      </c>
      <c r="B65" t="s">
        <v>59</v>
      </c>
      <c r="C65" t="s">
        <v>32</v>
      </c>
      <c r="D65" s="5" t="s">
        <v>14</v>
      </c>
      <c r="E65" t="s">
        <v>15</v>
      </c>
      <c r="F65" t="s">
        <v>16</v>
      </c>
      <c r="G65">
        <v>563</v>
      </c>
      <c r="H65">
        <v>0</v>
      </c>
      <c r="I65">
        <v>57.53</v>
      </c>
      <c r="J65">
        <v>48.57</v>
      </c>
      <c r="K65">
        <v>26.17</v>
      </c>
      <c r="L65">
        <f>K65/I65</f>
        <v>0.45489309925256388</v>
      </c>
      <c r="M65">
        <f>J65/I65</f>
        <v>0.84425517121501825</v>
      </c>
      <c r="N65">
        <v>49.25</v>
      </c>
      <c r="O65">
        <v>33.523000000000003</v>
      </c>
      <c r="P65">
        <v>2.2789999999999999</v>
      </c>
      <c r="Q65">
        <v>3.4319999999999999</v>
      </c>
      <c r="R65">
        <f>Q65-P65</f>
        <v>1.153</v>
      </c>
      <c r="S65" s="8">
        <f>(R65/(N65-O65))*100</f>
        <v>7.3313410059133988</v>
      </c>
      <c r="U65" t="s">
        <v>83</v>
      </c>
    </row>
    <row r="66" spans="1:21" x14ac:dyDescent="0.2">
      <c r="A66">
        <v>20250826</v>
      </c>
      <c r="B66" t="s">
        <v>59</v>
      </c>
      <c r="C66" t="s">
        <v>33</v>
      </c>
      <c r="D66" s="5" t="s">
        <v>14</v>
      </c>
      <c r="E66" t="s">
        <v>15</v>
      </c>
      <c r="F66" t="s">
        <v>16</v>
      </c>
      <c r="G66">
        <v>564</v>
      </c>
      <c r="H66">
        <v>0</v>
      </c>
      <c r="I66">
        <v>70.400000000000006</v>
      </c>
      <c r="J66">
        <v>52.58</v>
      </c>
      <c r="K66">
        <v>20</v>
      </c>
      <c r="L66">
        <f>K66/I66</f>
        <v>0.28409090909090906</v>
      </c>
      <c r="M66">
        <f>J66/I66</f>
        <v>0.74687499999999996</v>
      </c>
      <c r="N66">
        <v>61.396000000000001</v>
      </c>
      <c r="O66">
        <v>42.225000000000001</v>
      </c>
      <c r="P66">
        <v>2.2210000000000001</v>
      </c>
      <c r="Q66">
        <v>3.8109999999999999</v>
      </c>
      <c r="R66">
        <f>Q66-P66</f>
        <v>1.5899999999999999</v>
      </c>
      <c r="S66" s="8">
        <f>(R66/(N66-O66))*100</f>
        <v>8.293777059099682</v>
      </c>
      <c r="U66" t="s">
        <v>83</v>
      </c>
    </row>
    <row r="67" spans="1:21" x14ac:dyDescent="0.2">
      <c r="A67">
        <v>20250826</v>
      </c>
      <c r="B67" t="s">
        <v>59</v>
      </c>
      <c r="C67" t="s">
        <v>34</v>
      </c>
      <c r="D67" s="5" t="s">
        <v>14</v>
      </c>
      <c r="E67" t="s">
        <v>15</v>
      </c>
      <c r="F67" t="s">
        <v>16</v>
      </c>
      <c r="G67">
        <v>565</v>
      </c>
      <c r="H67">
        <v>0</v>
      </c>
      <c r="I67">
        <v>62.23</v>
      </c>
      <c r="J67">
        <v>47.67</v>
      </c>
      <c r="K67">
        <v>23.66</v>
      </c>
      <c r="L67">
        <f>K67/I67</f>
        <v>0.38020247469066371</v>
      </c>
      <c r="M67">
        <f>J67/I67</f>
        <v>0.76602924634420699</v>
      </c>
      <c r="N67">
        <v>47.7</v>
      </c>
      <c r="O67">
        <v>34.017000000000003</v>
      </c>
      <c r="P67">
        <v>2.2010000000000001</v>
      </c>
      <c r="Q67">
        <v>3.7759999999999998</v>
      </c>
      <c r="R67">
        <f>Q67-P67</f>
        <v>1.5749999999999997</v>
      </c>
      <c r="S67" s="8">
        <f>(R67/(N67-O67))*100</f>
        <v>11.510633632975223</v>
      </c>
      <c r="U67" t="s">
        <v>83</v>
      </c>
    </row>
    <row r="68" spans="1:21" x14ac:dyDescent="0.2">
      <c r="A68">
        <v>20250826</v>
      </c>
      <c r="B68" t="s">
        <v>59</v>
      </c>
      <c r="C68" t="s">
        <v>35</v>
      </c>
      <c r="D68" s="5" t="s">
        <v>14</v>
      </c>
      <c r="E68" t="s">
        <v>23</v>
      </c>
      <c r="F68" t="s">
        <v>16</v>
      </c>
      <c r="G68">
        <v>566</v>
      </c>
      <c r="H68">
        <v>0</v>
      </c>
      <c r="I68">
        <v>60.6</v>
      </c>
      <c r="J68">
        <v>48.81</v>
      </c>
      <c r="K68">
        <v>25.44</v>
      </c>
      <c r="L68">
        <f>K68/I68</f>
        <v>0.41980198019801979</v>
      </c>
      <c r="M68">
        <f>J68/I68</f>
        <v>0.80544554455445549</v>
      </c>
      <c r="N68">
        <v>50.817999999999998</v>
      </c>
      <c r="O68">
        <v>40.188000000000002</v>
      </c>
      <c r="P68">
        <v>2.2389999999999999</v>
      </c>
      <c r="Q68">
        <v>3.3010000000000002</v>
      </c>
      <c r="R68">
        <f>Q68-P68</f>
        <v>1.0620000000000003</v>
      </c>
      <c r="S68" s="8">
        <f>(R68/(N68-O68))*100</f>
        <v>9.9905926622765833</v>
      </c>
      <c r="U68" t="s">
        <v>83</v>
      </c>
    </row>
    <row r="69" spans="1:21" x14ac:dyDescent="0.2">
      <c r="A69">
        <v>20250826</v>
      </c>
      <c r="B69" t="s">
        <v>59</v>
      </c>
      <c r="C69" t="s">
        <v>36</v>
      </c>
      <c r="D69" s="5" t="s">
        <v>14</v>
      </c>
      <c r="E69" t="s">
        <v>23</v>
      </c>
      <c r="F69" t="s">
        <v>16</v>
      </c>
      <c r="G69">
        <v>567</v>
      </c>
      <c r="H69">
        <v>0</v>
      </c>
      <c r="I69">
        <v>64.09</v>
      </c>
      <c r="J69">
        <v>51.29</v>
      </c>
      <c r="K69">
        <v>24.23</v>
      </c>
      <c r="L69">
        <f>K69/I69</f>
        <v>0.37806210017163361</v>
      </c>
      <c r="M69">
        <f>J69/I69</f>
        <v>0.80028085504758928</v>
      </c>
      <c r="N69">
        <v>58.576999999999998</v>
      </c>
      <c r="O69">
        <v>40.83</v>
      </c>
      <c r="P69">
        <v>2.2200000000000002</v>
      </c>
      <c r="Q69">
        <v>4.0789999999999997</v>
      </c>
      <c r="R69">
        <f>Q69-P69</f>
        <v>1.8589999999999995</v>
      </c>
      <c r="S69" s="8">
        <f>(R69/(N69-O69))*100</f>
        <v>10.475009860821546</v>
      </c>
      <c r="U69" t="s">
        <v>83</v>
      </c>
    </row>
    <row r="70" spans="1:21" x14ac:dyDescent="0.2">
      <c r="A70">
        <v>20250826</v>
      </c>
      <c r="B70" t="s">
        <v>59</v>
      </c>
      <c r="C70" t="s">
        <v>37</v>
      </c>
      <c r="D70" s="5" t="s">
        <v>14</v>
      </c>
      <c r="E70" t="s">
        <v>23</v>
      </c>
      <c r="F70" t="s">
        <v>16</v>
      </c>
      <c r="G70">
        <v>568</v>
      </c>
      <c r="H70">
        <v>1</v>
      </c>
      <c r="I70">
        <v>67.59</v>
      </c>
      <c r="U70" t="s">
        <v>82</v>
      </c>
    </row>
    <row r="71" spans="1:21" x14ac:dyDescent="0.2">
      <c r="A71">
        <v>20250826</v>
      </c>
      <c r="B71" t="s">
        <v>59</v>
      </c>
      <c r="C71" t="s">
        <v>38</v>
      </c>
      <c r="D71" s="5" t="s">
        <v>14</v>
      </c>
      <c r="E71" t="s">
        <v>23</v>
      </c>
      <c r="F71" t="s">
        <v>16</v>
      </c>
      <c r="G71">
        <v>569</v>
      </c>
      <c r="H71">
        <v>0</v>
      </c>
      <c r="I71">
        <v>77.040000000000006</v>
      </c>
      <c r="J71">
        <v>57.56</v>
      </c>
      <c r="K71">
        <v>30.47</v>
      </c>
      <c r="L71">
        <f>K71/I71</f>
        <v>0.39550882658359288</v>
      </c>
      <c r="M71">
        <f>J71/I71</f>
        <v>0.74714434060228452</v>
      </c>
      <c r="N71">
        <v>82.356999999999999</v>
      </c>
      <c r="O71">
        <v>59.09</v>
      </c>
      <c r="P71">
        <v>2.2559999999999998</v>
      </c>
      <c r="Q71">
        <v>4.6239999999999997</v>
      </c>
      <c r="R71">
        <f>Q71-P71</f>
        <v>2.3679999999999999</v>
      </c>
      <c r="S71" s="8">
        <f>(R71/(N71-O71))*100</f>
        <v>10.177504620277649</v>
      </c>
      <c r="U71" t="s">
        <v>83</v>
      </c>
    </row>
    <row r="72" spans="1:21" x14ac:dyDescent="0.2">
      <c r="A72">
        <v>20250826</v>
      </c>
      <c r="B72" t="s">
        <v>59</v>
      </c>
      <c r="C72" t="s">
        <v>39</v>
      </c>
      <c r="D72" s="5" t="s">
        <v>14</v>
      </c>
      <c r="E72" t="s">
        <v>23</v>
      </c>
      <c r="F72" t="s">
        <v>16</v>
      </c>
      <c r="G72">
        <v>570</v>
      </c>
      <c r="H72">
        <v>1</v>
      </c>
      <c r="I72">
        <v>63.44</v>
      </c>
      <c r="U72" t="s">
        <v>82</v>
      </c>
    </row>
    <row r="73" spans="1:21" x14ac:dyDescent="0.2">
      <c r="A73">
        <v>20250826</v>
      </c>
      <c r="B73" t="s">
        <v>59</v>
      </c>
      <c r="C73" t="s">
        <v>40</v>
      </c>
      <c r="D73" s="5" t="s">
        <v>14</v>
      </c>
      <c r="E73" t="s">
        <v>23</v>
      </c>
      <c r="F73" t="s">
        <v>16</v>
      </c>
      <c r="G73">
        <v>571</v>
      </c>
      <c r="H73">
        <v>0</v>
      </c>
      <c r="I73">
        <v>60.23</v>
      </c>
      <c r="J73">
        <v>46.63</v>
      </c>
      <c r="K73">
        <v>26.7</v>
      </c>
      <c r="L73">
        <f>K73/I73</f>
        <v>0.44330068072389178</v>
      </c>
      <c r="M73">
        <f>J73/I73</f>
        <v>0.77419890420056459</v>
      </c>
      <c r="N73">
        <v>54.665999999999997</v>
      </c>
      <c r="O73">
        <v>41.332999999999998</v>
      </c>
      <c r="P73">
        <v>2.2330000000000001</v>
      </c>
      <c r="Q73">
        <v>3.0350000000000001</v>
      </c>
      <c r="R73">
        <f>Q73-P73</f>
        <v>0.80200000000000005</v>
      </c>
      <c r="S73" s="8">
        <f>(R73/(N73-O73))*100</f>
        <v>6.0151503787594702</v>
      </c>
      <c r="U73" t="s">
        <v>83</v>
      </c>
    </row>
    <row r="74" spans="1:21" x14ac:dyDescent="0.2">
      <c r="A74">
        <v>20250826</v>
      </c>
      <c r="B74" t="s">
        <v>59</v>
      </c>
      <c r="C74" t="s">
        <v>41</v>
      </c>
      <c r="D74" s="5" t="s">
        <v>14</v>
      </c>
      <c r="E74" t="s">
        <v>15</v>
      </c>
      <c r="F74" t="s">
        <v>16</v>
      </c>
      <c r="G74">
        <v>572</v>
      </c>
      <c r="H74">
        <v>0</v>
      </c>
      <c r="I74">
        <v>64.19</v>
      </c>
      <c r="J74">
        <v>54.2</v>
      </c>
      <c r="K74">
        <v>25.05</v>
      </c>
      <c r="L74">
        <f>K74/I74</f>
        <v>0.39024770213428883</v>
      </c>
      <c r="M74">
        <f>J74/I74</f>
        <v>0.84436828166381062</v>
      </c>
      <c r="N74">
        <v>50.776000000000003</v>
      </c>
      <c r="O74">
        <v>32.701000000000001</v>
      </c>
      <c r="P74">
        <v>2.2650000000000001</v>
      </c>
      <c r="Q74">
        <v>4.0259999999999998</v>
      </c>
      <c r="R74">
        <f>Q74-P74</f>
        <v>1.7609999999999997</v>
      </c>
      <c r="S74" s="8">
        <f>(R74/(N74-O74))*100</f>
        <v>9.7427385892116156</v>
      </c>
      <c r="U74" t="s">
        <v>83</v>
      </c>
    </row>
    <row r="75" spans="1:21" x14ac:dyDescent="0.2">
      <c r="A75">
        <v>20250826</v>
      </c>
      <c r="B75" t="s">
        <v>59</v>
      </c>
      <c r="C75" t="s">
        <v>42</v>
      </c>
      <c r="D75" s="5" t="s">
        <v>14</v>
      </c>
      <c r="E75" t="s">
        <v>15</v>
      </c>
      <c r="F75" t="s">
        <v>16</v>
      </c>
      <c r="G75">
        <v>573</v>
      </c>
      <c r="H75">
        <v>1</v>
      </c>
      <c r="U75" t="s">
        <v>82</v>
      </c>
    </row>
    <row r="76" spans="1:21" x14ac:dyDescent="0.2">
      <c r="A76">
        <v>20250826</v>
      </c>
      <c r="B76" t="s">
        <v>59</v>
      </c>
      <c r="C76" t="s">
        <v>43</v>
      </c>
      <c r="D76" s="5" t="s">
        <v>14</v>
      </c>
      <c r="E76" t="s">
        <v>15</v>
      </c>
      <c r="F76" t="s">
        <v>16</v>
      </c>
      <c r="G76">
        <v>574</v>
      </c>
      <c r="H76">
        <v>0</v>
      </c>
      <c r="I76">
        <v>69.08</v>
      </c>
      <c r="J76">
        <v>65.790000000000006</v>
      </c>
      <c r="K76">
        <v>27.45</v>
      </c>
      <c r="L76">
        <f>K76/I76</f>
        <v>0.39736537348002315</v>
      </c>
      <c r="M76">
        <f>J76/I76</f>
        <v>0.95237405906195727</v>
      </c>
      <c r="N76">
        <v>69.63</v>
      </c>
      <c r="O76">
        <v>47.07</v>
      </c>
      <c r="P76">
        <v>2.2200000000000002</v>
      </c>
      <c r="Q76">
        <v>3.7109999999999999</v>
      </c>
      <c r="R76">
        <f>Q76-P76</f>
        <v>1.4909999999999997</v>
      </c>
      <c r="S76" s="8">
        <f>(R76/(N76-O76))*100</f>
        <v>6.6090425531914896</v>
      </c>
      <c r="U76" t="s">
        <v>83</v>
      </c>
    </row>
    <row r="77" spans="1:21" x14ac:dyDescent="0.2">
      <c r="A77">
        <v>20250826</v>
      </c>
      <c r="B77" t="s">
        <v>59</v>
      </c>
      <c r="C77" t="s">
        <v>44</v>
      </c>
      <c r="D77" s="5" t="s">
        <v>14</v>
      </c>
      <c r="E77" t="s">
        <v>15</v>
      </c>
      <c r="F77" t="s">
        <v>16</v>
      </c>
      <c r="G77">
        <v>575</v>
      </c>
      <c r="H77">
        <v>0</v>
      </c>
      <c r="I77">
        <v>57.77</v>
      </c>
      <c r="J77">
        <v>48.55</v>
      </c>
      <c r="K77">
        <v>23.84</v>
      </c>
      <c r="L77">
        <f>K77/I77</f>
        <v>0.41267093647221736</v>
      </c>
      <c r="M77">
        <f>J77/I77</f>
        <v>0.84040159252207014</v>
      </c>
      <c r="N77">
        <v>46.396999999999998</v>
      </c>
      <c r="O77">
        <v>32.122999999999998</v>
      </c>
      <c r="P77">
        <v>2.2250000000000001</v>
      </c>
      <c r="Q77">
        <v>3.45</v>
      </c>
      <c r="R77">
        <f>Q77-P77</f>
        <v>1.2250000000000001</v>
      </c>
      <c r="S77" s="8">
        <f>(R77/(N77-O77))*100</f>
        <v>8.5820372705618606</v>
      </c>
      <c r="U77" t="s">
        <v>83</v>
      </c>
    </row>
    <row r="78" spans="1:21" x14ac:dyDescent="0.2">
      <c r="A78">
        <v>20250826</v>
      </c>
      <c r="B78" t="s">
        <v>59</v>
      </c>
      <c r="C78" t="s">
        <v>45</v>
      </c>
      <c r="D78" s="5" t="s">
        <v>14</v>
      </c>
      <c r="E78" t="s">
        <v>15</v>
      </c>
      <c r="F78" t="s">
        <v>16</v>
      </c>
      <c r="G78">
        <v>576</v>
      </c>
      <c r="H78">
        <v>0</v>
      </c>
      <c r="I78">
        <v>69.53</v>
      </c>
      <c r="J78">
        <v>57.27</v>
      </c>
      <c r="K78">
        <v>29</v>
      </c>
      <c r="L78">
        <f>K78/I78</f>
        <v>0.41708614986336834</v>
      </c>
      <c r="M78">
        <f>J78/I78</f>
        <v>0.82367323457500363</v>
      </c>
      <c r="N78">
        <v>75.364000000000004</v>
      </c>
      <c r="O78">
        <v>52.000999999999998</v>
      </c>
      <c r="P78">
        <v>2.23</v>
      </c>
      <c r="Q78">
        <v>4.7670000000000003</v>
      </c>
      <c r="R78">
        <f>Q78-P78</f>
        <v>2.5370000000000004</v>
      </c>
      <c r="S78" s="8">
        <f>(R78/(N78-O78))*100</f>
        <v>10.859050635620424</v>
      </c>
      <c r="U78" t="s">
        <v>83</v>
      </c>
    </row>
    <row r="79" spans="1:21" x14ac:dyDescent="0.2">
      <c r="A79">
        <v>20250826</v>
      </c>
      <c r="B79" t="s">
        <v>59</v>
      </c>
      <c r="C79" t="s">
        <v>46</v>
      </c>
      <c r="D79" s="5" t="s">
        <v>14</v>
      </c>
      <c r="E79" t="s">
        <v>15</v>
      </c>
      <c r="F79" t="s">
        <v>16</v>
      </c>
      <c r="G79">
        <v>577</v>
      </c>
      <c r="H79">
        <v>0</v>
      </c>
      <c r="I79">
        <v>73.680000000000007</v>
      </c>
      <c r="J79">
        <v>58.8</v>
      </c>
      <c r="K79">
        <v>26.62</v>
      </c>
      <c r="L79">
        <f>K79/I79</f>
        <v>0.36129207383279044</v>
      </c>
      <c r="M79">
        <f>J79/I79</f>
        <v>0.7980456026058631</v>
      </c>
      <c r="N79">
        <v>68.076999999999998</v>
      </c>
      <c r="O79">
        <v>46.521999999999998</v>
      </c>
      <c r="P79">
        <v>2.2130000000000001</v>
      </c>
      <c r="Q79">
        <v>4.407</v>
      </c>
      <c r="R79">
        <f>Q79-P79</f>
        <v>2.194</v>
      </c>
      <c r="S79" s="8">
        <f>(R79/(N79-O79))*100</f>
        <v>10.178612850846672</v>
      </c>
      <c r="U79" t="s">
        <v>83</v>
      </c>
    </row>
    <row r="80" spans="1:21" x14ac:dyDescent="0.2">
      <c r="A80">
        <v>20250826</v>
      </c>
      <c r="B80" t="s">
        <v>59</v>
      </c>
      <c r="C80" t="s">
        <v>47</v>
      </c>
      <c r="D80" s="5" t="s">
        <v>14</v>
      </c>
      <c r="E80" t="s">
        <v>23</v>
      </c>
      <c r="F80" t="s">
        <v>16</v>
      </c>
      <c r="G80">
        <v>578</v>
      </c>
      <c r="H80">
        <v>0</v>
      </c>
      <c r="I80">
        <v>69.37</v>
      </c>
      <c r="J80">
        <v>51.27</v>
      </c>
      <c r="K80">
        <v>28.54</v>
      </c>
      <c r="L80">
        <f>K80/I80</f>
        <v>0.41141703906587856</v>
      </c>
      <c r="M80">
        <f>J80/I80</f>
        <v>0.73908029407524867</v>
      </c>
      <c r="N80">
        <v>67.634</v>
      </c>
      <c r="O80">
        <v>47.606000000000002</v>
      </c>
      <c r="P80">
        <v>2.226</v>
      </c>
      <c r="Q80">
        <v>4.3019999999999996</v>
      </c>
      <c r="R80">
        <f>Q80-P80</f>
        <v>2.0759999999999996</v>
      </c>
      <c r="S80" s="8">
        <f>(R80/(N80-O80))*100</f>
        <v>10.3654883163571</v>
      </c>
      <c r="U80" t="s">
        <v>83</v>
      </c>
    </row>
    <row r="81" spans="1:21" x14ac:dyDescent="0.2">
      <c r="A81">
        <v>20250826</v>
      </c>
      <c r="B81" t="s">
        <v>59</v>
      </c>
      <c r="C81" t="s">
        <v>48</v>
      </c>
      <c r="D81" s="5" t="s">
        <v>14</v>
      </c>
      <c r="E81" t="s">
        <v>23</v>
      </c>
      <c r="F81" t="s">
        <v>16</v>
      </c>
      <c r="G81">
        <v>579</v>
      </c>
      <c r="H81">
        <v>1</v>
      </c>
      <c r="I81">
        <v>50.9</v>
      </c>
      <c r="U81" t="s">
        <v>82</v>
      </c>
    </row>
    <row r="82" spans="1:21" x14ac:dyDescent="0.2">
      <c r="A82">
        <v>20250826</v>
      </c>
      <c r="B82" t="s">
        <v>59</v>
      </c>
      <c r="C82" t="s">
        <v>49</v>
      </c>
      <c r="D82" s="5" t="s">
        <v>14</v>
      </c>
      <c r="E82" t="s">
        <v>23</v>
      </c>
      <c r="F82" t="s">
        <v>16</v>
      </c>
      <c r="G82">
        <v>580</v>
      </c>
      <c r="H82">
        <v>1</v>
      </c>
      <c r="U82" t="s">
        <v>82</v>
      </c>
    </row>
    <row r="83" spans="1:21" x14ac:dyDescent="0.2">
      <c r="A83">
        <v>20250826</v>
      </c>
      <c r="B83" t="s">
        <v>59</v>
      </c>
      <c r="C83" t="s">
        <v>50</v>
      </c>
      <c r="D83" s="5" t="s">
        <v>14</v>
      </c>
      <c r="E83" t="s">
        <v>23</v>
      </c>
      <c r="F83" t="s">
        <v>16</v>
      </c>
      <c r="G83">
        <v>581</v>
      </c>
      <c r="H83">
        <v>1</v>
      </c>
      <c r="I83">
        <v>60.98</v>
      </c>
      <c r="U83" t="s">
        <v>82</v>
      </c>
    </row>
    <row r="84" spans="1:21" x14ac:dyDescent="0.2">
      <c r="A84">
        <v>20250826</v>
      </c>
      <c r="B84" t="s">
        <v>59</v>
      </c>
      <c r="C84" t="s">
        <v>51</v>
      </c>
      <c r="D84" s="5" t="s">
        <v>14</v>
      </c>
      <c r="E84" t="s">
        <v>23</v>
      </c>
      <c r="F84" t="s">
        <v>16</v>
      </c>
      <c r="G84">
        <v>582</v>
      </c>
      <c r="H84">
        <v>0</v>
      </c>
      <c r="I84">
        <v>75.13</v>
      </c>
      <c r="J84">
        <v>55.29</v>
      </c>
      <c r="K84">
        <v>26.56</v>
      </c>
      <c r="L84">
        <f>K84/I84</f>
        <v>0.35352056435511781</v>
      </c>
      <c r="M84">
        <f>J84/I84</f>
        <v>0.73592439771063489</v>
      </c>
      <c r="N84">
        <v>72.873000000000005</v>
      </c>
      <c r="O84">
        <v>51.536000000000001</v>
      </c>
      <c r="P84">
        <v>2.2309999999999999</v>
      </c>
      <c r="Q84">
        <v>3.9319999999999999</v>
      </c>
      <c r="R84">
        <f>Q84-P84</f>
        <v>1.7010000000000001</v>
      </c>
      <c r="S84" s="8">
        <f>(R84/(N84-O84))*100</f>
        <v>7.9720673009326521</v>
      </c>
      <c r="U84" t="s">
        <v>83</v>
      </c>
    </row>
    <row r="85" spans="1:21" x14ac:dyDescent="0.2">
      <c r="A85">
        <v>20250826</v>
      </c>
      <c r="B85" t="s">
        <v>59</v>
      </c>
      <c r="C85" t="s">
        <v>52</v>
      </c>
      <c r="D85" s="5" t="s">
        <v>14</v>
      </c>
      <c r="E85" t="s">
        <v>23</v>
      </c>
      <c r="F85" t="s">
        <v>16</v>
      </c>
      <c r="G85">
        <v>583</v>
      </c>
      <c r="H85">
        <v>1</v>
      </c>
      <c r="I85">
        <v>71.62</v>
      </c>
      <c r="U85" t="s">
        <v>82</v>
      </c>
    </row>
    <row r="86" spans="1:21" x14ac:dyDescent="0.2">
      <c r="A86">
        <v>20250826</v>
      </c>
      <c r="B86" t="s">
        <v>60</v>
      </c>
      <c r="C86" t="s">
        <v>7</v>
      </c>
      <c r="D86" s="5" t="s">
        <v>14</v>
      </c>
      <c r="E86" t="s">
        <v>23</v>
      </c>
      <c r="F86" t="s">
        <v>16</v>
      </c>
      <c r="G86">
        <v>584</v>
      </c>
      <c r="H86">
        <v>0</v>
      </c>
      <c r="I86">
        <v>64.959999999999994</v>
      </c>
      <c r="J86">
        <v>52.33</v>
      </c>
      <c r="K86">
        <v>30.47</v>
      </c>
      <c r="L86">
        <f>K86/I86</f>
        <v>0.46905788177339902</v>
      </c>
      <c r="M86">
        <f>J86/I86</f>
        <v>0.80557266009852224</v>
      </c>
      <c r="N86">
        <v>72.623000000000005</v>
      </c>
      <c r="O86">
        <v>53.860999999999997</v>
      </c>
      <c r="P86">
        <v>2.2469999999999999</v>
      </c>
      <c r="Q86">
        <v>4.2089999999999996</v>
      </c>
      <c r="R86">
        <f>Q86-P86</f>
        <v>1.9619999999999997</v>
      </c>
      <c r="S86" s="8">
        <f>(R86/(N86-O86))*100</f>
        <v>10.457307323313074</v>
      </c>
      <c r="U86" t="s">
        <v>83</v>
      </c>
    </row>
    <row r="87" spans="1:21" x14ac:dyDescent="0.2">
      <c r="A87">
        <v>20250826</v>
      </c>
      <c r="B87" t="s">
        <v>60</v>
      </c>
      <c r="C87" t="s">
        <v>8</v>
      </c>
      <c r="D87" s="5" t="s">
        <v>14</v>
      </c>
      <c r="E87" t="s">
        <v>23</v>
      </c>
      <c r="F87" t="s">
        <v>16</v>
      </c>
      <c r="G87">
        <v>585</v>
      </c>
      <c r="H87">
        <v>0</v>
      </c>
      <c r="I87">
        <v>71.25</v>
      </c>
      <c r="J87">
        <v>52.11</v>
      </c>
      <c r="K87">
        <v>25.35</v>
      </c>
      <c r="L87">
        <f>K87/I87</f>
        <v>0.35578947368421054</v>
      </c>
      <c r="M87">
        <f>J87/I87</f>
        <v>0.73136842105263156</v>
      </c>
      <c r="N87">
        <v>60.966999999999999</v>
      </c>
      <c r="O87">
        <v>43.987000000000002</v>
      </c>
      <c r="P87">
        <v>2.222</v>
      </c>
      <c r="Q87">
        <v>3.9670000000000001</v>
      </c>
      <c r="R87">
        <f>Q87-P87</f>
        <v>1.7450000000000001</v>
      </c>
      <c r="S87" s="8">
        <f>(R87/(N87-O87))*100</f>
        <v>10.276796230859837</v>
      </c>
      <c r="U87" t="s">
        <v>83</v>
      </c>
    </row>
    <row r="88" spans="1:21" x14ac:dyDescent="0.2">
      <c r="A88">
        <v>20250826</v>
      </c>
      <c r="B88" t="s">
        <v>60</v>
      </c>
      <c r="C88" t="s">
        <v>9</v>
      </c>
      <c r="D88" s="5" t="s">
        <v>14</v>
      </c>
      <c r="E88" t="s">
        <v>23</v>
      </c>
      <c r="F88" t="s">
        <v>16</v>
      </c>
      <c r="G88">
        <v>586</v>
      </c>
      <c r="U88" t="s">
        <v>82</v>
      </c>
    </row>
    <row r="89" spans="1:21" x14ac:dyDescent="0.2">
      <c r="A89">
        <v>20250826</v>
      </c>
      <c r="B89" t="s">
        <v>60</v>
      </c>
      <c r="C89" t="s">
        <v>10</v>
      </c>
      <c r="D89" s="5" t="s">
        <v>14</v>
      </c>
      <c r="E89" t="s">
        <v>23</v>
      </c>
      <c r="F89" t="s">
        <v>16</v>
      </c>
      <c r="G89">
        <v>587</v>
      </c>
      <c r="H89">
        <v>1</v>
      </c>
      <c r="I89">
        <v>51.56</v>
      </c>
      <c r="U89" t="s">
        <v>82</v>
      </c>
    </row>
    <row r="90" spans="1:21" x14ac:dyDescent="0.2">
      <c r="A90">
        <v>20250826</v>
      </c>
      <c r="B90" t="s">
        <v>60</v>
      </c>
      <c r="C90" t="s">
        <v>11</v>
      </c>
      <c r="D90" s="5" t="s">
        <v>14</v>
      </c>
      <c r="E90" t="s">
        <v>23</v>
      </c>
      <c r="F90" t="s">
        <v>16</v>
      </c>
      <c r="G90">
        <v>588</v>
      </c>
      <c r="H90">
        <v>1</v>
      </c>
      <c r="I90">
        <v>68.48</v>
      </c>
      <c r="U90" t="s">
        <v>82</v>
      </c>
    </row>
    <row r="91" spans="1:21" x14ac:dyDescent="0.2">
      <c r="A91">
        <v>20250826</v>
      </c>
      <c r="B91" t="s">
        <v>60</v>
      </c>
      <c r="C91" t="s">
        <v>12</v>
      </c>
      <c r="D91" s="5" t="s">
        <v>14</v>
      </c>
      <c r="E91" t="s">
        <v>23</v>
      </c>
      <c r="F91" t="s">
        <v>16</v>
      </c>
      <c r="G91">
        <v>589</v>
      </c>
      <c r="H91">
        <v>0</v>
      </c>
      <c r="I91">
        <v>59.99</v>
      </c>
      <c r="J91">
        <v>49.07</v>
      </c>
      <c r="K91">
        <v>27.07</v>
      </c>
      <c r="L91">
        <f>K91/I91</f>
        <v>0.45124187364560758</v>
      </c>
      <c r="M91">
        <f>J91/I91</f>
        <v>0.81796966161026841</v>
      </c>
      <c r="N91">
        <v>51.74</v>
      </c>
      <c r="O91">
        <v>42.179000000000002</v>
      </c>
      <c r="P91">
        <v>2.2639999999999998</v>
      </c>
      <c r="Q91">
        <v>3.952</v>
      </c>
      <c r="R91">
        <f>Q91-P91</f>
        <v>1.6880000000000002</v>
      </c>
      <c r="S91" s="8">
        <f>(R91/(N91-O91))*100</f>
        <v>17.655057002405609</v>
      </c>
      <c r="U91" t="s">
        <v>83</v>
      </c>
    </row>
    <row r="92" spans="1:21" x14ac:dyDescent="0.2">
      <c r="A92">
        <v>20250826</v>
      </c>
      <c r="B92" t="s">
        <v>60</v>
      </c>
      <c r="C92" t="s">
        <v>13</v>
      </c>
      <c r="D92" s="5" t="s">
        <v>14</v>
      </c>
      <c r="E92" t="s">
        <v>15</v>
      </c>
      <c r="F92" t="s">
        <v>16</v>
      </c>
      <c r="G92">
        <v>590</v>
      </c>
      <c r="H92">
        <v>0</v>
      </c>
      <c r="I92">
        <v>57.41</v>
      </c>
      <c r="J92">
        <v>47.17</v>
      </c>
      <c r="K92">
        <v>25.15</v>
      </c>
      <c r="L92">
        <f>K92/I92</f>
        <v>0.43807699007141615</v>
      </c>
      <c r="M92">
        <f>J92/I92</f>
        <v>0.8216338616965686</v>
      </c>
      <c r="N92">
        <v>41.37</v>
      </c>
      <c r="O92">
        <v>29.303999999999998</v>
      </c>
      <c r="P92">
        <v>2.2280000000000002</v>
      </c>
      <c r="Q92">
        <v>3.31</v>
      </c>
      <c r="R92">
        <f>Q92-P92</f>
        <v>1.0819999999999999</v>
      </c>
      <c r="S92" s="8">
        <f>(R92/(N92-O92))*100</f>
        <v>8.9673462622244315</v>
      </c>
      <c r="U92" t="s">
        <v>83</v>
      </c>
    </row>
    <row r="93" spans="1:21" x14ac:dyDescent="0.2">
      <c r="A93">
        <v>20250826</v>
      </c>
      <c r="B93" t="s">
        <v>60</v>
      </c>
      <c r="C93" t="s">
        <v>17</v>
      </c>
      <c r="D93" s="5" t="s">
        <v>14</v>
      </c>
      <c r="E93" t="s">
        <v>15</v>
      </c>
      <c r="F93" t="s">
        <v>16</v>
      </c>
      <c r="G93">
        <v>591</v>
      </c>
      <c r="H93">
        <v>1</v>
      </c>
      <c r="I93">
        <v>39.85</v>
      </c>
      <c r="U93" t="s">
        <v>82</v>
      </c>
    </row>
    <row r="94" spans="1:21" x14ac:dyDescent="0.2">
      <c r="A94">
        <v>20250826</v>
      </c>
      <c r="B94" t="s">
        <v>60</v>
      </c>
      <c r="C94" t="s">
        <v>18</v>
      </c>
      <c r="D94" s="5" t="s">
        <v>14</v>
      </c>
      <c r="E94" t="s">
        <v>15</v>
      </c>
      <c r="F94" t="s">
        <v>16</v>
      </c>
      <c r="G94">
        <v>592</v>
      </c>
      <c r="H94">
        <v>0</v>
      </c>
      <c r="I94">
        <v>56.27</v>
      </c>
      <c r="J94">
        <v>43.82</v>
      </c>
      <c r="K94">
        <v>24.43</v>
      </c>
      <c r="L94">
        <f>K94/I94</f>
        <v>0.43415674426870443</v>
      </c>
      <c r="M94">
        <f>J94/I94</f>
        <v>0.77874533499200282</v>
      </c>
      <c r="N94">
        <v>39.152999999999999</v>
      </c>
      <c r="O94">
        <v>26.547000000000001</v>
      </c>
      <c r="P94">
        <v>2.2480000000000002</v>
      </c>
      <c r="Q94">
        <v>3.669</v>
      </c>
      <c r="R94">
        <f>Q94-P94</f>
        <v>1.4209999999999998</v>
      </c>
      <c r="S94" s="8">
        <f>(R94/(N94-O94))*100</f>
        <v>11.272409963509441</v>
      </c>
      <c r="U94" t="s">
        <v>83</v>
      </c>
    </row>
    <row r="95" spans="1:21" x14ac:dyDescent="0.2">
      <c r="A95">
        <v>20250826</v>
      </c>
      <c r="B95" t="s">
        <v>60</v>
      </c>
      <c r="C95" t="s">
        <v>19</v>
      </c>
      <c r="D95" s="5" t="s">
        <v>14</v>
      </c>
      <c r="E95" t="s">
        <v>15</v>
      </c>
      <c r="F95" t="s">
        <v>16</v>
      </c>
      <c r="G95">
        <v>593</v>
      </c>
      <c r="H95">
        <v>0</v>
      </c>
      <c r="I95">
        <v>70.19</v>
      </c>
      <c r="J95">
        <v>60.08</v>
      </c>
      <c r="K95">
        <v>27.59</v>
      </c>
      <c r="L95">
        <f>K95/I95</f>
        <v>0.3930759367431258</v>
      </c>
      <c r="M95">
        <f>J95/I95</f>
        <v>0.8559623878045306</v>
      </c>
      <c r="N95">
        <v>65.953000000000003</v>
      </c>
      <c r="O95">
        <v>50.661999999999999</v>
      </c>
      <c r="P95">
        <v>2.2639999999999998</v>
      </c>
      <c r="Q95">
        <v>3.38</v>
      </c>
      <c r="R95">
        <f>Q95-P95</f>
        <v>1.1160000000000001</v>
      </c>
      <c r="S95" s="8">
        <f>(R95/(N95-O95))*100</f>
        <v>7.2984108298999404</v>
      </c>
      <c r="U95" t="s">
        <v>83</v>
      </c>
    </row>
    <row r="96" spans="1:21" x14ac:dyDescent="0.2">
      <c r="A96">
        <v>20250826</v>
      </c>
      <c r="B96" t="s">
        <v>60</v>
      </c>
      <c r="C96" t="s">
        <v>20</v>
      </c>
      <c r="D96" s="5" t="s">
        <v>14</v>
      </c>
      <c r="E96" t="s">
        <v>15</v>
      </c>
      <c r="F96" t="s">
        <v>16</v>
      </c>
      <c r="G96">
        <v>594</v>
      </c>
      <c r="H96">
        <v>0</v>
      </c>
      <c r="I96">
        <v>63.99</v>
      </c>
      <c r="J96">
        <v>50.37</v>
      </c>
      <c r="K96">
        <v>22.95</v>
      </c>
      <c r="L96">
        <f>K96/I96</f>
        <v>0.35864978902953587</v>
      </c>
      <c r="M96">
        <f>J96/I96</f>
        <v>0.78715424285044533</v>
      </c>
      <c r="N96">
        <v>46.082000000000001</v>
      </c>
      <c r="O96">
        <v>32.093000000000004</v>
      </c>
      <c r="P96">
        <v>2.2570000000000001</v>
      </c>
      <c r="Q96">
        <v>3.0529999999999999</v>
      </c>
      <c r="R96">
        <f>Q96-P96</f>
        <v>0.79599999999999982</v>
      </c>
      <c r="S96" s="8">
        <f>(R96/(N96-O96))*100</f>
        <v>5.6901851454714416</v>
      </c>
      <c r="U96" t="s">
        <v>83</v>
      </c>
    </row>
    <row r="97" spans="1:21" x14ac:dyDescent="0.2">
      <c r="A97">
        <v>20250826</v>
      </c>
      <c r="B97" t="s">
        <v>60</v>
      </c>
      <c r="C97" t="s">
        <v>21</v>
      </c>
      <c r="D97" s="5" t="s">
        <v>14</v>
      </c>
      <c r="E97" t="s">
        <v>15</v>
      </c>
      <c r="F97" t="s">
        <v>16</v>
      </c>
      <c r="G97">
        <v>595</v>
      </c>
      <c r="H97">
        <v>0</v>
      </c>
      <c r="I97">
        <v>61.24</v>
      </c>
      <c r="J97">
        <v>47.81</v>
      </c>
      <c r="K97">
        <v>23.29</v>
      </c>
      <c r="L97">
        <f>K97/I97</f>
        <v>0.38030698889614628</v>
      </c>
      <c r="M97">
        <f>J97/I97</f>
        <v>0.78069888961463096</v>
      </c>
      <c r="N97">
        <v>42.856000000000002</v>
      </c>
      <c r="O97">
        <v>28.013000000000002</v>
      </c>
      <c r="P97">
        <v>2.2360000000000002</v>
      </c>
      <c r="Q97">
        <v>3.2679999999999998</v>
      </c>
      <c r="R97">
        <f>Q97-P97</f>
        <v>1.0319999999999996</v>
      </c>
      <c r="S97" s="8">
        <f>(R97/(N97-O97))*100</f>
        <v>6.9527723506029746</v>
      </c>
      <c r="U97" t="s">
        <v>83</v>
      </c>
    </row>
    <row r="98" spans="1:21" x14ac:dyDescent="0.2">
      <c r="A98">
        <v>20250826</v>
      </c>
      <c r="B98" t="s">
        <v>60</v>
      </c>
      <c r="C98" t="s">
        <v>22</v>
      </c>
      <c r="D98" s="5" t="s">
        <v>14</v>
      </c>
      <c r="E98" t="s">
        <v>23</v>
      </c>
      <c r="F98" t="s">
        <v>16</v>
      </c>
      <c r="G98">
        <v>596</v>
      </c>
      <c r="H98">
        <v>1</v>
      </c>
      <c r="I98">
        <v>71.62</v>
      </c>
      <c r="U98" t="s">
        <v>82</v>
      </c>
    </row>
    <row r="99" spans="1:21" x14ac:dyDescent="0.2">
      <c r="A99">
        <v>20250826</v>
      </c>
      <c r="B99" t="s">
        <v>60</v>
      </c>
      <c r="C99" t="s">
        <v>24</v>
      </c>
      <c r="D99" s="5" t="s">
        <v>14</v>
      </c>
      <c r="E99" t="s">
        <v>23</v>
      </c>
      <c r="F99" t="s">
        <v>16</v>
      </c>
      <c r="G99">
        <v>597</v>
      </c>
      <c r="H99">
        <v>0</v>
      </c>
      <c r="I99">
        <v>64.97</v>
      </c>
      <c r="J99">
        <v>55.83</v>
      </c>
      <c r="K99">
        <v>27.13</v>
      </c>
      <c r="L99">
        <f>K99/I99</f>
        <v>0.41757734338925656</v>
      </c>
      <c r="M99">
        <f>J99/I99</f>
        <v>0.85931968600892716</v>
      </c>
      <c r="N99">
        <v>66.028000000000006</v>
      </c>
      <c r="O99">
        <v>45.18</v>
      </c>
      <c r="P99">
        <v>2.254</v>
      </c>
      <c r="Q99">
        <v>4.2910000000000004</v>
      </c>
      <c r="R99">
        <f>Q99-P99</f>
        <v>2.0370000000000004</v>
      </c>
      <c r="S99" s="8">
        <f>(R99/(N99-O99))*100</f>
        <v>9.7707214121258623</v>
      </c>
      <c r="U99" t="s">
        <v>83</v>
      </c>
    </row>
    <row r="100" spans="1:21" x14ac:dyDescent="0.2">
      <c r="A100">
        <v>20250826</v>
      </c>
      <c r="B100" t="s">
        <v>60</v>
      </c>
      <c r="C100" t="s">
        <v>25</v>
      </c>
      <c r="D100" s="5" t="s">
        <v>14</v>
      </c>
      <c r="E100" t="s">
        <v>23</v>
      </c>
      <c r="F100" t="s">
        <v>16</v>
      </c>
      <c r="G100">
        <v>598</v>
      </c>
      <c r="H100">
        <v>0</v>
      </c>
      <c r="I100">
        <v>80.95</v>
      </c>
      <c r="J100">
        <v>64.69</v>
      </c>
      <c r="K100">
        <v>27.8</v>
      </c>
      <c r="L100">
        <f>K100/I100</f>
        <v>0.34342186534898084</v>
      </c>
      <c r="M100">
        <f>J100/I100</f>
        <v>0.79913526868437301</v>
      </c>
      <c r="N100">
        <v>90.995999999999995</v>
      </c>
      <c r="O100">
        <v>61.387999999999998</v>
      </c>
      <c r="P100">
        <v>2.2389999999999999</v>
      </c>
      <c r="Q100">
        <v>4.5549999999999997</v>
      </c>
      <c r="R100">
        <f>Q100-P100</f>
        <v>2.3159999999999998</v>
      </c>
      <c r="S100" s="8">
        <f>(R100/(N100-O100))*100</f>
        <v>7.8222102134558229</v>
      </c>
      <c r="U100" t="s">
        <v>83</v>
      </c>
    </row>
    <row r="101" spans="1:21" x14ac:dyDescent="0.2">
      <c r="A101">
        <v>20250826</v>
      </c>
      <c r="B101" t="s">
        <v>60</v>
      </c>
      <c r="C101" t="s">
        <v>26</v>
      </c>
      <c r="D101" s="5" t="s">
        <v>14</v>
      </c>
      <c r="E101" t="s">
        <v>23</v>
      </c>
      <c r="F101" t="s">
        <v>16</v>
      </c>
      <c r="G101">
        <v>599</v>
      </c>
      <c r="H101">
        <v>0</v>
      </c>
      <c r="I101">
        <v>56.35</v>
      </c>
      <c r="J101">
        <v>45.36</v>
      </c>
      <c r="K101">
        <v>25.35</v>
      </c>
      <c r="L101">
        <f>K101/I101</f>
        <v>0.44986690328305234</v>
      </c>
      <c r="M101">
        <f>J101/I101</f>
        <v>0.8049689440993788</v>
      </c>
      <c r="N101">
        <v>46.518000000000001</v>
      </c>
      <c r="O101">
        <v>35.826999999999998</v>
      </c>
      <c r="P101">
        <v>2.2160000000000002</v>
      </c>
      <c r="Q101">
        <v>3.3490000000000002</v>
      </c>
      <c r="R101">
        <f>Q101-P101</f>
        <v>1.133</v>
      </c>
      <c r="S101" s="8">
        <f>(R101/(N101-O101))*100</f>
        <v>10.597698999158169</v>
      </c>
      <c r="U101" t="s">
        <v>83</v>
      </c>
    </row>
    <row r="102" spans="1:21" x14ac:dyDescent="0.2">
      <c r="A102">
        <v>20250826</v>
      </c>
      <c r="B102" t="s">
        <v>60</v>
      </c>
      <c r="C102" t="s">
        <v>27</v>
      </c>
      <c r="D102" s="5" t="s">
        <v>14</v>
      </c>
      <c r="E102" t="s">
        <v>23</v>
      </c>
      <c r="F102" t="s">
        <v>16</v>
      </c>
      <c r="G102">
        <v>600</v>
      </c>
      <c r="H102">
        <v>0</v>
      </c>
      <c r="I102">
        <v>71.41</v>
      </c>
      <c r="J102">
        <v>57.28</v>
      </c>
      <c r="K102">
        <v>29.73</v>
      </c>
      <c r="L102">
        <f>K102/I102</f>
        <v>0.41632824534378943</v>
      </c>
      <c r="M102">
        <f>J102/I102</f>
        <v>0.80212855342389022</v>
      </c>
      <c r="N102">
        <v>76.245000000000005</v>
      </c>
      <c r="O102">
        <v>55.392000000000003</v>
      </c>
      <c r="P102">
        <v>2.2349999999999999</v>
      </c>
      <c r="Q102">
        <v>3.9390000000000001</v>
      </c>
      <c r="R102">
        <f>Q102-P102</f>
        <v>1.7040000000000002</v>
      </c>
      <c r="S102" s="8">
        <f>(R102/(N102-O102))*100</f>
        <v>8.1714861171054523</v>
      </c>
      <c r="U102" t="s">
        <v>83</v>
      </c>
    </row>
    <row r="103" spans="1:21" x14ac:dyDescent="0.2">
      <c r="A103">
        <v>20250826</v>
      </c>
      <c r="B103" t="s">
        <v>60</v>
      </c>
      <c r="C103" t="s">
        <v>28</v>
      </c>
      <c r="D103" s="5" t="s">
        <v>14</v>
      </c>
      <c r="E103" t="s">
        <v>23</v>
      </c>
      <c r="F103" t="s">
        <v>16</v>
      </c>
      <c r="G103">
        <v>601</v>
      </c>
      <c r="H103">
        <v>1</v>
      </c>
      <c r="I103">
        <v>68.790000000000006</v>
      </c>
      <c r="U103" t="s">
        <v>82</v>
      </c>
    </row>
    <row r="104" spans="1:21" x14ac:dyDescent="0.2">
      <c r="A104">
        <v>20250826</v>
      </c>
      <c r="B104" t="s">
        <v>60</v>
      </c>
      <c r="C104" t="s">
        <v>29</v>
      </c>
      <c r="D104" s="5" t="s">
        <v>14</v>
      </c>
      <c r="E104" t="s">
        <v>15</v>
      </c>
      <c r="F104" t="s">
        <v>16</v>
      </c>
      <c r="G104">
        <v>602</v>
      </c>
      <c r="H104">
        <v>1</v>
      </c>
      <c r="I104">
        <v>60.31</v>
      </c>
      <c r="U104" t="s">
        <v>82</v>
      </c>
    </row>
    <row r="105" spans="1:21" x14ac:dyDescent="0.2">
      <c r="A105">
        <v>20250826</v>
      </c>
      <c r="B105" t="s">
        <v>60</v>
      </c>
      <c r="C105" t="s">
        <v>30</v>
      </c>
      <c r="D105" s="5" t="s">
        <v>14</v>
      </c>
      <c r="E105" t="s">
        <v>15</v>
      </c>
      <c r="F105" t="s">
        <v>16</v>
      </c>
      <c r="G105">
        <v>603</v>
      </c>
      <c r="H105">
        <v>0</v>
      </c>
      <c r="I105">
        <v>56.77</v>
      </c>
      <c r="J105">
        <v>46.78</v>
      </c>
      <c r="K105">
        <v>26.49</v>
      </c>
      <c r="L105">
        <f>K105/I105</f>
        <v>0.46661969350008803</v>
      </c>
      <c r="M105">
        <f>J105/I105</f>
        <v>0.82402677470494978</v>
      </c>
      <c r="N105">
        <v>44.463999999999999</v>
      </c>
      <c r="O105">
        <v>32.625999999999998</v>
      </c>
      <c r="P105">
        <v>2.266</v>
      </c>
      <c r="Q105">
        <v>3.35</v>
      </c>
      <c r="R105">
        <f>Q105-P105</f>
        <v>1.0840000000000001</v>
      </c>
      <c r="S105" s="8">
        <f t="shared" ref="S105:S120" si="8">(R105/(N105-O105))*100</f>
        <v>9.1569521878695728</v>
      </c>
      <c r="U105" t="s">
        <v>83</v>
      </c>
    </row>
    <row r="106" spans="1:21" x14ac:dyDescent="0.2">
      <c r="A106">
        <v>20250826</v>
      </c>
      <c r="B106" t="s">
        <v>60</v>
      </c>
      <c r="C106" t="s">
        <v>31</v>
      </c>
      <c r="D106" s="5" t="s">
        <v>14</v>
      </c>
      <c r="E106" t="s">
        <v>15</v>
      </c>
      <c r="F106" t="s">
        <v>16</v>
      </c>
      <c r="G106">
        <v>604</v>
      </c>
      <c r="H106">
        <v>0</v>
      </c>
      <c r="I106">
        <v>64.86</v>
      </c>
      <c r="J106">
        <v>55.37</v>
      </c>
      <c r="K106">
        <v>26.24</v>
      </c>
      <c r="L106">
        <f>K106/I106</f>
        <v>0.40456367560900397</v>
      </c>
      <c r="M106">
        <f>J106/I106</f>
        <v>0.85368485969781061</v>
      </c>
      <c r="N106">
        <v>55.465000000000003</v>
      </c>
      <c r="O106">
        <v>34.067</v>
      </c>
      <c r="P106">
        <v>2.238</v>
      </c>
      <c r="Q106">
        <v>3.4380000000000002</v>
      </c>
      <c r="R106">
        <f>Q106-P106</f>
        <v>1.2000000000000002</v>
      </c>
      <c r="S106" s="8">
        <f t="shared" si="8"/>
        <v>5.608000747733433</v>
      </c>
      <c r="U106" t="s">
        <v>83</v>
      </c>
    </row>
    <row r="107" spans="1:21" x14ac:dyDescent="0.2">
      <c r="A107">
        <v>20250826</v>
      </c>
      <c r="B107" t="s">
        <v>60</v>
      </c>
      <c r="C107" t="s">
        <v>32</v>
      </c>
      <c r="D107" s="5" t="s">
        <v>14</v>
      </c>
      <c r="E107" t="s">
        <v>15</v>
      </c>
      <c r="F107" t="s">
        <v>16</v>
      </c>
      <c r="G107">
        <v>605</v>
      </c>
      <c r="H107">
        <v>0</v>
      </c>
      <c r="I107">
        <v>60.04</v>
      </c>
      <c r="J107">
        <v>58.15</v>
      </c>
      <c r="K107">
        <v>26.91</v>
      </c>
      <c r="L107">
        <f>K107/I107</f>
        <v>0.44820119920053297</v>
      </c>
      <c r="M107">
        <f>J107/I107</f>
        <v>0.96852098600932712</v>
      </c>
      <c r="N107">
        <v>53.646999999999998</v>
      </c>
      <c r="O107">
        <v>36.244</v>
      </c>
      <c r="P107">
        <v>2.2959999999999998</v>
      </c>
      <c r="Q107">
        <v>3.8519999999999999</v>
      </c>
      <c r="R107">
        <f>Q107-P107</f>
        <v>1.556</v>
      </c>
      <c r="S107" s="8">
        <f t="shared" si="8"/>
        <v>8.9409871861173364</v>
      </c>
      <c r="U107" t="s">
        <v>83</v>
      </c>
    </row>
    <row r="108" spans="1:21" x14ac:dyDescent="0.2">
      <c r="A108">
        <v>20250826</v>
      </c>
      <c r="B108" t="s">
        <v>60</v>
      </c>
      <c r="C108" t="s">
        <v>33</v>
      </c>
      <c r="D108" s="5" t="s">
        <v>14</v>
      </c>
      <c r="E108" t="s">
        <v>15</v>
      </c>
      <c r="F108" t="s">
        <v>16</v>
      </c>
      <c r="G108">
        <v>606</v>
      </c>
      <c r="H108">
        <v>0</v>
      </c>
      <c r="I108">
        <v>66.59</v>
      </c>
      <c r="J108">
        <v>53.48</v>
      </c>
      <c r="K108">
        <v>24.28</v>
      </c>
      <c r="L108">
        <f>K108/I108</f>
        <v>0.36461931220904037</v>
      </c>
      <c r="M108">
        <f>J108/I108</f>
        <v>0.80312359213095053</v>
      </c>
      <c r="N108">
        <v>58.362000000000002</v>
      </c>
      <c r="O108">
        <v>41.874000000000002</v>
      </c>
      <c r="P108">
        <v>2.266</v>
      </c>
      <c r="Q108">
        <v>3.4529999999999998</v>
      </c>
      <c r="R108">
        <f>Q108-P108</f>
        <v>1.1869999999999998</v>
      </c>
      <c r="S108" s="8">
        <f t="shared" si="8"/>
        <v>7.1991751576904406</v>
      </c>
      <c r="U108" t="s">
        <v>83</v>
      </c>
    </row>
    <row r="109" spans="1:21" x14ac:dyDescent="0.2">
      <c r="A109">
        <v>20250826</v>
      </c>
      <c r="B109" t="s">
        <v>60</v>
      </c>
      <c r="C109" t="s">
        <v>34</v>
      </c>
      <c r="D109" s="5" t="s">
        <v>14</v>
      </c>
      <c r="E109" t="s">
        <v>15</v>
      </c>
      <c r="F109" t="s">
        <v>16</v>
      </c>
      <c r="G109">
        <v>607</v>
      </c>
      <c r="H109">
        <v>0</v>
      </c>
      <c r="I109">
        <v>69.19</v>
      </c>
      <c r="J109">
        <v>48.35</v>
      </c>
      <c r="K109">
        <v>28.92</v>
      </c>
      <c r="L109">
        <f>K109/I109</f>
        <v>0.41797947680300623</v>
      </c>
      <c r="M109">
        <f>J109/I109</f>
        <v>0.69880040468275761</v>
      </c>
      <c r="N109">
        <v>63.69</v>
      </c>
      <c r="O109">
        <v>45.12</v>
      </c>
      <c r="P109">
        <v>2.2530000000000001</v>
      </c>
      <c r="Q109">
        <v>4.0250000000000004</v>
      </c>
      <c r="R109">
        <f>Q109-P109</f>
        <v>1.7720000000000002</v>
      </c>
      <c r="S109" s="8">
        <f t="shared" si="8"/>
        <v>9.5422724824986549</v>
      </c>
      <c r="U109" t="s">
        <v>83</v>
      </c>
    </row>
    <row r="110" spans="1:21" x14ac:dyDescent="0.2">
      <c r="A110">
        <v>20250826</v>
      </c>
      <c r="B110" t="s">
        <v>60</v>
      </c>
      <c r="C110" t="s">
        <v>41</v>
      </c>
      <c r="D110" s="5" t="s">
        <v>14</v>
      </c>
      <c r="E110" t="s">
        <v>15</v>
      </c>
      <c r="F110" t="s">
        <v>16</v>
      </c>
      <c r="G110">
        <v>608</v>
      </c>
      <c r="H110">
        <v>0</v>
      </c>
      <c r="I110">
        <v>57.82</v>
      </c>
      <c r="J110">
        <v>53</v>
      </c>
      <c r="K110">
        <v>27.84</v>
      </c>
      <c r="L110">
        <f t="shared" ref="L110:L120" si="9">K110/I110</f>
        <v>0.48149429263230714</v>
      </c>
      <c r="M110">
        <f t="shared" ref="M110:M120" si="10">J110/I110</f>
        <v>0.91663784157730888</v>
      </c>
      <c r="N110">
        <v>54.023000000000003</v>
      </c>
      <c r="O110">
        <v>37.155999999999999</v>
      </c>
      <c r="P110">
        <v>2.2480000000000002</v>
      </c>
      <c r="Q110">
        <v>3.492</v>
      </c>
      <c r="R110">
        <f t="shared" ref="R110:R120" si="11">Q110-P110</f>
        <v>1.2439999999999998</v>
      </c>
      <c r="S110" s="8">
        <f t="shared" si="8"/>
        <v>7.3753483132744382</v>
      </c>
      <c r="U110" t="s">
        <v>83</v>
      </c>
    </row>
    <row r="111" spans="1:21" x14ac:dyDescent="0.2">
      <c r="A111">
        <v>20250826</v>
      </c>
      <c r="B111" t="s">
        <v>60</v>
      </c>
      <c r="C111" t="s">
        <v>42</v>
      </c>
      <c r="D111" s="5" t="s">
        <v>14</v>
      </c>
      <c r="E111" t="s">
        <v>15</v>
      </c>
      <c r="F111" t="s">
        <v>16</v>
      </c>
      <c r="G111">
        <v>609</v>
      </c>
      <c r="H111">
        <v>0</v>
      </c>
      <c r="I111">
        <v>72.069999999999993</v>
      </c>
      <c r="J111">
        <v>56.23</v>
      </c>
      <c r="K111">
        <v>27.21</v>
      </c>
      <c r="L111">
        <f t="shared" si="9"/>
        <v>0.3775496045511309</v>
      </c>
      <c r="M111">
        <f t="shared" si="10"/>
        <v>0.78021368114333289</v>
      </c>
      <c r="N111">
        <v>65.680999999999997</v>
      </c>
      <c r="O111">
        <v>45.326000000000001</v>
      </c>
      <c r="P111">
        <v>2.2719999999999998</v>
      </c>
      <c r="Q111">
        <v>4.2939999999999996</v>
      </c>
      <c r="R111">
        <f t="shared" si="11"/>
        <v>2.0219999999999998</v>
      </c>
      <c r="S111" s="8">
        <f t="shared" si="8"/>
        <v>9.9336772291820203</v>
      </c>
      <c r="U111" t="s">
        <v>83</v>
      </c>
    </row>
    <row r="112" spans="1:21" x14ac:dyDescent="0.2">
      <c r="A112">
        <v>20250826</v>
      </c>
      <c r="B112" t="s">
        <v>60</v>
      </c>
      <c r="C112" t="s">
        <v>43</v>
      </c>
      <c r="D112" s="5" t="s">
        <v>14</v>
      </c>
      <c r="E112" t="s">
        <v>15</v>
      </c>
      <c r="F112" t="s">
        <v>16</v>
      </c>
      <c r="G112">
        <v>610</v>
      </c>
      <c r="H112">
        <v>0</v>
      </c>
      <c r="I112">
        <v>77.48</v>
      </c>
      <c r="J112">
        <v>57.2</v>
      </c>
      <c r="K112">
        <v>28.9</v>
      </c>
      <c r="L112">
        <f t="shared" si="9"/>
        <v>0.37299948373773872</v>
      </c>
      <c r="M112">
        <f t="shared" si="10"/>
        <v>0.73825503355704702</v>
      </c>
      <c r="N112">
        <v>67.001000000000005</v>
      </c>
      <c r="O112">
        <v>42.262999999999998</v>
      </c>
      <c r="P112">
        <v>2.222</v>
      </c>
      <c r="Q112">
        <v>3.7090000000000001</v>
      </c>
      <c r="R112">
        <f t="shared" si="11"/>
        <v>1.4870000000000001</v>
      </c>
      <c r="S112" s="8">
        <f t="shared" si="8"/>
        <v>6.0109952300105087</v>
      </c>
      <c r="U112" t="s">
        <v>83</v>
      </c>
    </row>
    <row r="113" spans="1:21" x14ac:dyDescent="0.2">
      <c r="A113">
        <v>20250826</v>
      </c>
      <c r="B113" t="s">
        <v>60</v>
      </c>
      <c r="C113" t="s">
        <v>44</v>
      </c>
      <c r="D113" s="5" t="s">
        <v>14</v>
      </c>
      <c r="E113" t="s">
        <v>15</v>
      </c>
      <c r="F113" t="s">
        <v>16</v>
      </c>
      <c r="G113">
        <v>611</v>
      </c>
      <c r="H113">
        <v>0</v>
      </c>
      <c r="I113">
        <v>70.739999999999995</v>
      </c>
      <c r="J113">
        <v>52.61</v>
      </c>
      <c r="K113">
        <v>25.03</v>
      </c>
      <c r="L113">
        <f t="shared" si="9"/>
        <v>0.35383093016680806</v>
      </c>
      <c r="M113">
        <f t="shared" si="10"/>
        <v>0.74370935821317508</v>
      </c>
      <c r="N113">
        <v>51.609000000000002</v>
      </c>
      <c r="O113">
        <v>34.628999999999998</v>
      </c>
      <c r="P113">
        <v>2.2919999999999998</v>
      </c>
      <c r="Q113">
        <v>3.3719999999999999</v>
      </c>
      <c r="R113">
        <f t="shared" si="11"/>
        <v>1.08</v>
      </c>
      <c r="S113" s="8">
        <f t="shared" si="8"/>
        <v>6.3604240282685502</v>
      </c>
      <c r="U113" t="s">
        <v>83</v>
      </c>
    </row>
    <row r="114" spans="1:21" x14ac:dyDescent="0.2">
      <c r="A114">
        <v>20250826</v>
      </c>
      <c r="B114" t="s">
        <v>60</v>
      </c>
      <c r="C114" t="s">
        <v>45</v>
      </c>
      <c r="D114" s="5" t="s">
        <v>14</v>
      </c>
      <c r="E114" t="s">
        <v>15</v>
      </c>
      <c r="F114" t="s">
        <v>16</v>
      </c>
      <c r="G114">
        <v>612</v>
      </c>
      <c r="H114">
        <v>0</v>
      </c>
      <c r="I114">
        <v>61.96</v>
      </c>
      <c r="J114">
        <v>51.05</v>
      </c>
      <c r="K114">
        <v>23.23</v>
      </c>
      <c r="L114">
        <f t="shared" si="9"/>
        <v>0.37491930277598451</v>
      </c>
      <c r="M114">
        <f t="shared" si="10"/>
        <v>0.82391865719819235</v>
      </c>
      <c r="N114">
        <v>44.918999999999997</v>
      </c>
      <c r="O114">
        <v>31.09</v>
      </c>
      <c r="P114">
        <v>2.238</v>
      </c>
      <c r="Q114">
        <v>3.202</v>
      </c>
      <c r="R114">
        <f t="shared" si="11"/>
        <v>0.96399999999999997</v>
      </c>
      <c r="S114" s="8">
        <f t="shared" si="8"/>
        <v>6.970858341167113</v>
      </c>
      <c r="U114" t="s">
        <v>83</v>
      </c>
    </row>
    <row r="115" spans="1:21" x14ac:dyDescent="0.2">
      <c r="A115">
        <v>20250826</v>
      </c>
      <c r="B115" t="s">
        <v>60</v>
      </c>
      <c r="C115" t="s">
        <v>46</v>
      </c>
      <c r="D115" s="5" t="s">
        <v>14</v>
      </c>
      <c r="E115" t="s">
        <v>15</v>
      </c>
      <c r="F115" t="s">
        <v>16</v>
      </c>
      <c r="G115">
        <v>613</v>
      </c>
      <c r="H115">
        <v>0</v>
      </c>
      <c r="I115">
        <v>60.95</v>
      </c>
      <c r="J115">
        <v>51.78</v>
      </c>
      <c r="K115">
        <v>23.8</v>
      </c>
      <c r="L115">
        <f t="shared" si="9"/>
        <v>0.39048400328137817</v>
      </c>
      <c r="M115">
        <f t="shared" si="10"/>
        <v>0.8495488105004102</v>
      </c>
      <c r="N115">
        <v>49.941000000000003</v>
      </c>
      <c r="O115">
        <v>36.680999999999997</v>
      </c>
      <c r="P115">
        <v>2.2189999999999999</v>
      </c>
      <c r="Q115">
        <v>3.3959999999999999</v>
      </c>
      <c r="R115">
        <f t="shared" si="11"/>
        <v>1.177</v>
      </c>
      <c r="S115" s="8">
        <f t="shared" si="8"/>
        <v>8.8763197586726967</v>
      </c>
      <c r="U115" t="s">
        <v>83</v>
      </c>
    </row>
    <row r="116" spans="1:21" x14ac:dyDescent="0.2">
      <c r="A116">
        <v>20250826</v>
      </c>
      <c r="B116" t="s">
        <v>60</v>
      </c>
      <c r="C116" t="s">
        <v>47</v>
      </c>
      <c r="D116" s="5" t="s">
        <v>14</v>
      </c>
      <c r="E116" t="s">
        <v>23</v>
      </c>
      <c r="F116" t="s">
        <v>16</v>
      </c>
      <c r="G116">
        <v>614</v>
      </c>
      <c r="H116">
        <v>0</v>
      </c>
      <c r="I116">
        <v>73.58</v>
      </c>
      <c r="J116">
        <v>48.62</v>
      </c>
      <c r="K116">
        <v>27.01</v>
      </c>
      <c r="L116">
        <f t="shared" si="9"/>
        <v>0.36708344658874698</v>
      </c>
      <c r="M116">
        <f t="shared" si="10"/>
        <v>0.66077738515901063</v>
      </c>
      <c r="N116">
        <v>69.929000000000002</v>
      </c>
      <c r="O116">
        <v>50.030999999999999</v>
      </c>
      <c r="P116">
        <v>2.2149999999999999</v>
      </c>
      <c r="Q116">
        <v>4.2859999999999996</v>
      </c>
      <c r="R116">
        <f t="shared" si="11"/>
        <v>2.0709999999999997</v>
      </c>
      <c r="S116" s="8">
        <f t="shared" si="8"/>
        <v>10.408081214192379</v>
      </c>
      <c r="U116" t="s">
        <v>83</v>
      </c>
    </row>
    <row r="117" spans="1:21" x14ac:dyDescent="0.2">
      <c r="A117">
        <v>20250826</v>
      </c>
      <c r="B117" t="s">
        <v>60</v>
      </c>
      <c r="C117" t="s">
        <v>48</v>
      </c>
      <c r="D117" s="5" t="s">
        <v>14</v>
      </c>
      <c r="E117" t="s">
        <v>23</v>
      </c>
      <c r="F117" t="s">
        <v>16</v>
      </c>
      <c r="G117">
        <v>616</v>
      </c>
      <c r="H117">
        <v>0</v>
      </c>
      <c r="I117">
        <v>55.03</v>
      </c>
      <c r="J117">
        <v>44.36</v>
      </c>
      <c r="K117">
        <v>23.37</v>
      </c>
      <c r="L117">
        <f t="shared" si="9"/>
        <v>0.42467744866436491</v>
      </c>
      <c r="M117">
        <f t="shared" si="10"/>
        <v>0.80610576049427585</v>
      </c>
      <c r="N117">
        <v>34.682000000000002</v>
      </c>
      <c r="O117">
        <v>23.98</v>
      </c>
      <c r="P117">
        <v>2.2400000000000002</v>
      </c>
      <c r="Q117">
        <v>3.214</v>
      </c>
      <c r="R117">
        <f t="shared" si="11"/>
        <v>0.97399999999999975</v>
      </c>
      <c r="S117" s="8">
        <f t="shared" si="8"/>
        <v>9.1011025976452959</v>
      </c>
      <c r="U117" t="s">
        <v>83</v>
      </c>
    </row>
    <row r="118" spans="1:21" x14ac:dyDescent="0.2">
      <c r="A118">
        <v>20250826</v>
      </c>
      <c r="B118" t="s">
        <v>60</v>
      </c>
      <c r="C118" t="s">
        <v>49</v>
      </c>
      <c r="D118" s="5" t="s">
        <v>14</v>
      </c>
      <c r="E118" t="s">
        <v>23</v>
      </c>
      <c r="F118" t="s">
        <v>16</v>
      </c>
      <c r="G118">
        <v>617</v>
      </c>
      <c r="H118">
        <v>0</v>
      </c>
      <c r="I118">
        <v>61.09</v>
      </c>
      <c r="J118">
        <v>45.5</v>
      </c>
      <c r="K118">
        <v>26.51</v>
      </c>
      <c r="L118">
        <f t="shared" si="9"/>
        <v>0.43394990996889837</v>
      </c>
      <c r="M118">
        <f t="shared" si="10"/>
        <v>0.74480275004092322</v>
      </c>
      <c r="N118">
        <v>58.923999999999999</v>
      </c>
      <c r="O118">
        <v>46.84</v>
      </c>
      <c r="P118">
        <v>2.2749999999999999</v>
      </c>
      <c r="Q118">
        <v>3.7290000000000001</v>
      </c>
      <c r="R118">
        <f t="shared" si="11"/>
        <v>1.4540000000000002</v>
      </c>
      <c r="S118" s="8">
        <f t="shared" si="8"/>
        <v>12.032439589539893</v>
      </c>
      <c r="U118" t="s">
        <v>83</v>
      </c>
    </row>
    <row r="119" spans="1:21" x14ac:dyDescent="0.2">
      <c r="A119">
        <v>20250826</v>
      </c>
      <c r="B119" t="s">
        <v>60</v>
      </c>
      <c r="C119" t="s">
        <v>50</v>
      </c>
      <c r="D119" s="5" t="s">
        <v>14</v>
      </c>
      <c r="E119" t="s">
        <v>23</v>
      </c>
      <c r="F119" t="s">
        <v>16</v>
      </c>
      <c r="G119">
        <v>618</v>
      </c>
      <c r="H119">
        <v>0</v>
      </c>
      <c r="I119">
        <v>50.42</v>
      </c>
      <c r="J119">
        <v>33.659999999999997</v>
      </c>
      <c r="K119">
        <v>18.07</v>
      </c>
      <c r="L119">
        <f t="shared" si="9"/>
        <v>0.35838952796509321</v>
      </c>
      <c r="M119">
        <f t="shared" si="10"/>
        <v>0.66759222530741757</v>
      </c>
      <c r="N119">
        <v>23.501999999999999</v>
      </c>
      <c r="O119">
        <v>18.882999999999999</v>
      </c>
      <c r="P119">
        <v>2.2160000000000002</v>
      </c>
      <c r="Q119">
        <v>2.5030000000000001</v>
      </c>
      <c r="R119">
        <f t="shared" si="11"/>
        <v>0.28699999999999992</v>
      </c>
      <c r="S119" s="8">
        <f t="shared" si="8"/>
        <v>6.2134661182074034</v>
      </c>
      <c r="U119" t="s">
        <v>83</v>
      </c>
    </row>
    <row r="120" spans="1:21" x14ac:dyDescent="0.2">
      <c r="A120">
        <v>20250826</v>
      </c>
      <c r="B120" t="s">
        <v>60</v>
      </c>
      <c r="C120" t="s">
        <v>51</v>
      </c>
      <c r="D120" s="5" t="s">
        <v>14</v>
      </c>
      <c r="E120" t="s">
        <v>23</v>
      </c>
      <c r="F120" t="s">
        <v>16</v>
      </c>
      <c r="G120">
        <v>615</v>
      </c>
      <c r="H120">
        <v>0</v>
      </c>
      <c r="I120">
        <v>66.88</v>
      </c>
      <c r="J120">
        <v>50.58</v>
      </c>
      <c r="K120">
        <v>28.93</v>
      </c>
      <c r="L120">
        <f t="shared" si="9"/>
        <v>0.43256578947368424</v>
      </c>
      <c r="M120">
        <f t="shared" si="10"/>
        <v>0.75627990430622016</v>
      </c>
      <c r="N120">
        <v>65.966999999999999</v>
      </c>
      <c r="O120">
        <v>50.578000000000003</v>
      </c>
      <c r="P120">
        <v>2.2109999999999999</v>
      </c>
      <c r="Q120">
        <v>4.12</v>
      </c>
      <c r="R120">
        <f t="shared" si="11"/>
        <v>1.9090000000000003</v>
      </c>
      <c r="S120" s="8">
        <f t="shared" si="8"/>
        <v>12.404964585093254</v>
      </c>
      <c r="T120" t="s">
        <v>80</v>
      </c>
      <c r="U120" t="s">
        <v>82</v>
      </c>
    </row>
    <row r="121" spans="1:21" x14ac:dyDescent="0.2">
      <c r="A121">
        <v>20250826</v>
      </c>
      <c r="B121" t="s">
        <v>60</v>
      </c>
      <c r="C121" t="s">
        <v>52</v>
      </c>
      <c r="D121" s="5" t="s">
        <v>14</v>
      </c>
      <c r="E121" t="s">
        <v>23</v>
      </c>
      <c r="F121" t="s">
        <v>16</v>
      </c>
      <c r="T121" s="9" t="s">
        <v>63</v>
      </c>
      <c r="U121" t="s">
        <v>82</v>
      </c>
    </row>
    <row r="122" spans="1:21" x14ac:dyDescent="0.2">
      <c r="A122">
        <v>20250826</v>
      </c>
      <c r="B122" t="s">
        <v>60</v>
      </c>
      <c r="C122" t="s">
        <v>53</v>
      </c>
      <c r="D122" s="5" t="s">
        <v>14</v>
      </c>
      <c r="E122" t="s">
        <v>15</v>
      </c>
      <c r="F122" t="s">
        <v>16</v>
      </c>
      <c r="G122">
        <v>619</v>
      </c>
      <c r="H122">
        <v>0</v>
      </c>
      <c r="I122">
        <v>59.23</v>
      </c>
      <c r="J122">
        <v>46.2</v>
      </c>
      <c r="K122">
        <v>23.3</v>
      </c>
      <c r="L122">
        <f>K122/I122</f>
        <v>0.39338173223028872</v>
      </c>
      <c r="M122">
        <f>J122/I122</f>
        <v>0.7800101300016884</v>
      </c>
      <c r="N122">
        <v>36.905999999999999</v>
      </c>
      <c r="O122">
        <v>25.279</v>
      </c>
      <c r="P122">
        <v>2.29</v>
      </c>
      <c r="Q122">
        <v>3.0209999999999999</v>
      </c>
      <c r="R122">
        <f>Q122-P122</f>
        <v>0.73099999999999987</v>
      </c>
      <c r="S122" s="8">
        <f>(R122/(N122-O122))*100</f>
        <v>6.2870903930506579</v>
      </c>
      <c r="U122" t="s">
        <v>83</v>
      </c>
    </row>
    <row r="123" spans="1:21" x14ac:dyDescent="0.2">
      <c r="A123">
        <v>20250826</v>
      </c>
      <c r="B123" t="s">
        <v>60</v>
      </c>
      <c r="C123" t="s">
        <v>54</v>
      </c>
      <c r="D123" s="5" t="s">
        <v>14</v>
      </c>
      <c r="E123" t="s">
        <v>15</v>
      </c>
      <c r="F123" t="s">
        <v>16</v>
      </c>
      <c r="G123">
        <v>621</v>
      </c>
      <c r="H123">
        <v>0</v>
      </c>
      <c r="I123">
        <v>60.78</v>
      </c>
      <c r="J123">
        <v>48.73</v>
      </c>
      <c r="K123">
        <v>24.69</v>
      </c>
      <c r="L123">
        <f>K123/I123</f>
        <v>0.40621915103652517</v>
      </c>
      <c r="M123">
        <f>J123/I123</f>
        <v>0.80174399473511015</v>
      </c>
      <c r="N123">
        <v>52.343000000000004</v>
      </c>
      <c r="O123">
        <v>37.658999999999999</v>
      </c>
      <c r="P123">
        <v>2.2890000000000001</v>
      </c>
      <c r="Q123">
        <v>3.9289999999999998</v>
      </c>
      <c r="R123">
        <f>Q123-P123</f>
        <v>1.6399999999999997</v>
      </c>
      <c r="S123" s="8">
        <f>(R123/(N123-O123))*100</f>
        <v>11.168618904930531</v>
      </c>
      <c r="U123" t="s">
        <v>83</v>
      </c>
    </row>
    <row r="124" spans="1:21" x14ac:dyDescent="0.2">
      <c r="A124">
        <v>20250826</v>
      </c>
      <c r="B124" t="s">
        <v>60</v>
      </c>
      <c r="C124" t="s">
        <v>55</v>
      </c>
      <c r="D124" s="5" t="s">
        <v>14</v>
      </c>
      <c r="E124" t="s">
        <v>15</v>
      </c>
      <c r="F124" t="s">
        <v>16</v>
      </c>
      <c r="G124">
        <v>620</v>
      </c>
      <c r="H124">
        <v>0</v>
      </c>
      <c r="I124">
        <v>74.05</v>
      </c>
      <c r="J124">
        <v>50.93</v>
      </c>
      <c r="K124">
        <v>29.01</v>
      </c>
      <c r="L124">
        <f>K124/I124</f>
        <v>0.39176232275489536</v>
      </c>
      <c r="M124">
        <f>J124/I124</f>
        <v>0.68777852802160699</v>
      </c>
      <c r="N124">
        <v>61.695999999999998</v>
      </c>
      <c r="O124">
        <v>40.323999999999998</v>
      </c>
      <c r="P124">
        <v>2.2690000000000001</v>
      </c>
      <c r="Q124">
        <v>3.577</v>
      </c>
      <c r="R124">
        <f>Q124-P124</f>
        <v>1.3079999999999998</v>
      </c>
      <c r="S124" s="8">
        <f>(R124/(N124-O124))*100</f>
        <v>6.1201572150477253</v>
      </c>
      <c r="U124" t="s">
        <v>83</v>
      </c>
    </row>
    <row r="125" spans="1:21" x14ac:dyDescent="0.2">
      <c r="A125">
        <v>20250826</v>
      </c>
      <c r="B125" t="s">
        <v>60</v>
      </c>
      <c r="C125" t="s">
        <v>56</v>
      </c>
      <c r="D125" s="5" t="s">
        <v>14</v>
      </c>
      <c r="E125" t="s">
        <v>15</v>
      </c>
      <c r="F125" t="s">
        <v>16</v>
      </c>
      <c r="G125">
        <v>622</v>
      </c>
      <c r="H125">
        <v>0</v>
      </c>
      <c r="I125">
        <v>66.7</v>
      </c>
      <c r="J125">
        <v>56.75</v>
      </c>
      <c r="K125">
        <v>22.88</v>
      </c>
      <c r="L125">
        <f>K125/I125</f>
        <v>0.34302848575712142</v>
      </c>
      <c r="M125">
        <f>J125/I125</f>
        <v>0.85082458770614688</v>
      </c>
      <c r="N125">
        <v>48.134</v>
      </c>
      <c r="O125">
        <v>32.887</v>
      </c>
      <c r="P125">
        <v>2.2450000000000001</v>
      </c>
      <c r="Q125">
        <v>3.2749999999999999</v>
      </c>
      <c r="R125">
        <f>Q125-P125</f>
        <v>1.0299999999999998</v>
      </c>
      <c r="S125" s="8">
        <f>(R125/(N125-O125))*100</f>
        <v>6.7554272971732141</v>
      </c>
      <c r="U125" t="s">
        <v>83</v>
      </c>
    </row>
    <row r="126" spans="1:21" x14ac:dyDescent="0.2">
      <c r="A126">
        <v>20250826</v>
      </c>
      <c r="B126" t="s">
        <v>60</v>
      </c>
      <c r="C126" t="s">
        <v>57</v>
      </c>
      <c r="D126" s="5" t="s">
        <v>14</v>
      </c>
      <c r="E126" t="s">
        <v>15</v>
      </c>
      <c r="F126" t="s">
        <v>16</v>
      </c>
      <c r="G126">
        <v>623</v>
      </c>
      <c r="H126">
        <v>0</v>
      </c>
      <c r="I126">
        <v>62.73</v>
      </c>
      <c r="J126">
        <v>54.13</v>
      </c>
      <c r="K126">
        <v>25.73</v>
      </c>
      <c r="L126">
        <f>K126/I126</f>
        <v>0.41017057229395826</v>
      </c>
      <c r="M126">
        <f>J126/I126</f>
        <v>0.86290451139805524</v>
      </c>
      <c r="N126">
        <v>63.091999999999999</v>
      </c>
      <c r="O126">
        <v>41.713000000000001</v>
      </c>
      <c r="P126">
        <v>2.2330000000000001</v>
      </c>
      <c r="Q126">
        <v>3.915</v>
      </c>
      <c r="R126">
        <f>Q126-P126</f>
        <v>1.6819999999999999</v>
      </c>
      <c r="S126" s="8">
        <f>(R126/(N126-O126))*100</f>
        <v>7.8675335609710473</v>
      </c>
      <c r="U126" t="s">
        <v>83</v>
      </c>
    </row>
    <row r="127" spans="1:21" x14ac:dyDescent="0.2">
      <c r="A127">
        <v>20250826</v>
      </c>
      <c r="B127" t="s">
        <v>60</v>
      </c>
      <c r="C127" t="s">
        <v>58</v>
      </c>
      <c r="D127" s="5" t="s">
        <v>14</v>
      </c>
      <c r="E127" t="s">
        <v>15</v>
      </c>
      <c r="F127" t="s">
        <v>16</v>
      </c>
      <c r="T127" s="9" t="s">
        <v>63</v>
      </c>
      <c r="U127" t="s">
        <v>82</v>
      </c>
    </row>
    <row r="128" spans="1:21" x14ac:dyDescent="0.2">
      <c r="A128">
        <v>20250826</v>
      </c>
      <c r="B128" t="s">
        <v>61</v>
      </c>
      <c r="C128" t="s">
        <v>7</v>
      </c>
      <c r="D128" s="5" t="s">
        <v>14</v>
      </c>
      <c r="E128" t="s">
        <v>23</v>
      </c>
      <c r="F128" t="s">
        <v>16</v>
      </c>
      <c r="G128">
        <v>624</v>
      </c>
      <c r="H128">
        <v>1</v>
      </c>
      <c r="I128" s="10">
        <v>82.13</v>
      </c>
      <c r="U128" t="s">
        <v>82</v>
      </c>
    </row>
    <row r="129" spans="1:21" x14ac:dyDescent="0.2">
      <c r="A129">
        <v>20250826</v>
      </c>
      <c r="B129" t="s">
        <v>61</v>
      </c>
      <c r="C129" t="s">
        <v>8</v>
      </c>
      <c r="D129" s="5" t="s">
        <v>14</v>
      </c>
      <c r="E129" t="s">
        <v>23</v>
      </c>
      <c r="F129" t="s">
        <v>16</v>
      </c>
      <c r="G129">
        <v>625</v>
      </c>
      <c r="H129">
        <v>0</v>
      </c>
      <c r="I129">
        <v>80.2</v>
      </c>
      <c r="J129">
        <v>59.56</v>
      </c>
      <c r="K129">
        <v>27.07</v>
      </c>
      <c r="L129">
        <f>K129/I129</f>
        <v>0.33753117206982541</v>
      </c>
      <c r="M129">
        <f>J129/I129</f>
        <v>0.74264339152119696</v>
      </c>
      <c r="N129">
        <v>84.311000000000007</v>
      </c>
      <c r="O129">
        <v>61.942999999999998</v>
      </c>
      <c r="P129">
        <v>2.2280000000000002</v>
      </c>
      <c r="Q129">
        <v>4.3090000000000002</v>
      </c>
      <c r="R129">
        <f>Q129-P129</f>
        <v>2.081</v>
      </c>
      <c r="S129" s="8">
        <f>(R129/(N129-O129))*100</f>
        <v>9.3034692417739588</v>
      </c>
      <c r="U129" t="s">
        <v>83</v>
      </c>
    </row>
    <row r="130" spans="1:21" x14ac:dyDescent="0.2">
      <c r="A130">
        <v>20250826</v>
      </c>
      <c r="B130" t="s">
        <v>61</v>
      </c>
      <c r="C130" t="s">
        <v>9</v>
      </c>
      <c r="D130" s="5" t="s">
        <v>14</v>
      </c>
      <c r="E130" t="s">
        <v>23</v>
      </c>
      <c r="F130" t="s">
        <v>16</v>
      </c>
      <c r="G130">
        <v>626</v>
      </c>
      <c r="H130">
        <v>1</v>
      </c>
      <c r="I130" s="10">
        <v>54.83</v>
      </c>
      <c r="U130" t="s">
        <v>82</v>
      </c>
    </row>
    <row r="131" spans="1:21" x14ac:dyDescent="0.2">
      <c r="A131">
        <v>20250826</v>
      </c>
      <c r="B131" t="s">
        <v>61</v>
      </c>
      <c r="C131" t="s">
        <v>10</v>
      </c>
      <c r="D131" s="5" t="s">
        <v>14</v>
      </c>
      <c r="E131" t="s">
        <v>23</v>
      </c>
      <c r="F131" t="s">
        <v>16</v>
      </c>
      <c r="G131">
        <v>627</v>
      </c>
      <c r="U131" t="s">
        <v>82</v>
      </c>
    </row>
    <row r="132" spans="1:21" x14ac:dyDescent="0.2">
      <c r="A132">
        <v>20250826</v>
      </c>
      <c r="B132" t="s">
        <v>61</v>
      </c>
      <c r="C132" t="s">
        <v>11</v>
      </c>
      <c r="D132" s="5" t="s">
        <v>14</v>
      </c>
      <c r="E132" t="s">
        <v>23</v>
      </c>
      <c r="F132" t="s">
        <v>16</v>
      </c>
      <c r="G132">
        <v>628</v>
      </c>
      <c r="H132">
        <v>0</v>
      </c>
      <c r="I132" s="6">
        <v>51.02</v>
      </c>
      <c r="J132" s="6">
        <v>47.72</v>
      </c>
      <c r="K132" s="6">
        <v>23.01</v>
      </c>
      <c r="L132" s="6">
        <v>0.45100000000000001</v>
      </c>
      <c r="M132" s="6">
        <v>0.93531900000000001</v>
      </c>
      <c r="N132" s="6">
        <v>39.557000000000002</v>
      </c>
      <c r="O132" s="6">
        <v>30.62</v>
      </c>
      <c r="P132" s="6">
        <v>2.242</v>
      </c>
      <c r="Q132" s="6">
        <v>3.8119999999999998</v>
      </c>
      <c r="R132" s="6">
        <v>1.57</v>
      </c>
      <c r="S132" s="7">
        <v>17.57</v>
      </c>
      <c r="U132" t="s">
        <v>83</v>
      </c>
    </row>
    <row r="133" spans="1:21" x14ac:dyDescent="0.2">
      <c r="A133">
        <v>20250826</v>
      </c>
      <c r="B133" t="s">
        <v>61</v>
      </c>
      <c r="C133" t="s">
        <v>12</v>
      </c>
      <c r="D133" s="5" t="s">
        <v>14</v>
      </c>
      <c r="E133" t="s">
        <v>23</v>
      </c>
      <c r="F133" t="s">
        <v>16</v>
      </c>
      <c r="G133">
        <v>629</v>
      </c>
      <c r="H133">
        <v>1</v>
      </c>
      <c r="I133">
        <v>69.11</v>
      </c>
      <c r="U133" t="s">
        <v>82</v>
      </c>
    </row>
    <row r="134" spans="1:21" x14ac:dyDescent="0.2">
      <c r="A134">
        <v>20250826</v>
      </c>
      <c r="B134" t="s">
        <v>61</v>
      </c>
      <c r="C134" t="s">
        <v>22</v>
      </c>
      <c r="D134" s="5" t="s">
        <v>14</v>
      </c>
      <c r="E134" t="s">
        <v>23</v>
      </c>
      <c r="F134" t="s">
        <v>16</v>
      </c>
      <c r="G134">
        <v>630</v>
      </c>
      <c r="H134">
        <v>0</v>
      </c>
      <c r="I134">
        <v>80.13</v>
      </c>
      <c r="J134">
        <v>61.63</v>
      </c>
      <c r="K134">
        <v>31.91</v>
      </c>
      <c r="L134">
        <f>K134/I134</f>
        <v>0.39822787969549484</v>
      </c>
      <c r="M134">
        <f>J134/I134</f>
        <v>0.76912517159615634</v>
      </c>
      <c r="N134">
        <v>102.121</v>
      </c>
      <c r="O134">
        <v>70.069000000000003</v>
      </c>
      <c r="P134">
        <v>2.2469999999999999</v>
      </c>
      <c r="Q134">
        <v>5.7130000000000001</v>
      </c>
      <c r="R134">
        <f>Q134-P134</f>
        <v>3.4660000000000002</v>
      </c>
      <c r="S134" s="8">
        <f>(R134/(N134-O134))*100</f>
        <v>10.813677773617874</v>
      </c>
      <c r="U134" t="s">
        <v>83</v>
      </c>
    </row>
    <row r="135" spans="1:21" x14ac:dyDescent="0.2">
      <c r="A135">
        <v>20250826</v>
      </c>
      <c r="B135" t="s">
        <v>61</v>
      </c>
      <c r="C135" t="s">
        <v>24</v>
      </c>
      <c r="D135" s="5" t="s">
        <v>14</v>
      </c>
      <c r="E135" t="s">
        <v>23</v>
      </c>
      <c r="F135" t="s">
        <v>16</v>
      </c>
      <c r="G135">
        <v>631</v>
      </c>
      <c r="H135">
        <v>1</v>
      </c>
      <c r="I135">
        <v>70.59</v>
      </c>
      <c r="U135" t="s">
        <v>82</v>
      </c>
    </row>
    <row r="136" spans="1:21" x14ac:dyDescent="0.2">
      <c r="A136">
        <v>20250826</v>
      </c>
      <c r="B136" t="s">
        <v>61</v>
      </c>
      <c r="C136" t="s">
        <v>25</v>
      </c>
      <c r="D136" s="5" t="s">
        <v>14</v>
      </c>
      <c r="E136" t="s">
        <v>23</v>
      </c>
      <c r="F136" t="s">
        <v>16</v>
      </c>
      <c r="G136">
        <v>632</v>
      </c>
      <c r="H136">
        <v>0</v>
      </c>
      <c r="I136">
        <v>71.760000000000005</v>
      </c>
      <c r="J136">
        <v>56.77</v>
      </c>
      <c r="K136">
        <v>25.49</v>
      </c>
      <c r="L136">
        <f>K136/I136</f>
        <v>0.35521181716833888</v>
      </c>
      <c r="M136">
        <f>J136/I136</f>
        <v>0.79110925306577484</v>
      </c>
      <c r="N136">
        <v>91.781999999999996</v>
      </c>
      <c r="O136">
        <v>70.591999999999999</v>
      </c>
      <c r="P136">
        <v>2.27</v>
      </c>
      <c r="Q136">
        <v>3.8170000000000002</v>
      </c>
      <c r="R136">
        <f>Q136-P136</f>
        <v>1.5470000000000002</v>
      </c>
      <c r="S136" s="8">
        <f>(R136/(N136-O136))*100</f>
        <v>7.3006134969325158</v>
      </c>
      <c r="U136" t="s">
        <v>83</v>
      </c>
    </row>
    <row r="137" spans="1:21" x14ac:dyDescent="0.2">
      <c r="A137">
        <v>20250826</v>
      </c>
      <c r="B137" t="s">
        <v>61</v>
      </c>
      <c r="C137" t="s">
        <v>26</v>
      </c>
      <c r="D137" s="5" t="s">
        <v>14</v>
      </c>
      <c r="E137" t="s">
        <v>23</v>
      </c>
      <c r="F137" t="s">
        <v>16</v>
      </c>
      <c r="G137">
        <v>633</v>
      </c>
      <c r="H137">
        <v>0</v>
      </c>
      <c r="I137">
        <v>63.96</v>
      </c>
      <c r="J137">
        <v>47.4</v>
      </c>
      <c r="K137">
        <v>30.94</v>
      </c>
      <c r="L137">
        <f>K137/I137</f>
        <v>0.48373983739837401</v>
      </c>
      <c r="M137">
        <f>J137/I137</f>
        <v>0.74108818011257027</v>
      </c>
      <c r="N137">
        <v>59.237000000000002</v>
      </c>
      <c r="O137">
        <v>42.732999999999997</v>
      </c>
      <c r="P137">
        <v>2.2450000000000001</v>
      </c>
      <c r="Q137">
        <v>3.6190000000000002</v>
      </c>
      <c r="R137">
        <f>Q137-P137</f>
        <v>1.3740000000000001</v>
      </c>
      <c r="S137" s="8">
        <f>(R137/(N137-O137))*100</f>
        <v>8.3252544837615101</v>
      </c>
      <c r="U137" t="s">
        <v>83</v>
      </c>
    </row>
    <row r="138" spans="1:21" x14ac:dyDescent="0.2">
      <c r="A138">
        <v>20250826</v>
      </c>
      <c r="B138" t="s">
        <v>61</v>
      </c>
      <c r="C138" t="s">
        <v>27</v>
      </c>
      <c r="D138" s="5" t="s">
        <v>14</v>
      </c>
      <c r="E138" t="s">
        <v>23</v>
      </c>
      <c r="F138" t="s">
        <v>16</v>
      </c>
      <c r="G138">
        <v>634</v>
      </c>
      <c r="H138">
        <v>0</v>
      </c>
      <c r="I138">
        <v>78.099999999999994</v>
      </c>
      <c r="J138">
        <v>54.99</v>
      </c>
      <c r="K138">
        <v>27.88</v>
      </c>
      <c r="L138">
        <f>K138/I138</f>
        <v>0.3569782330345711</v>
      </c>
      <c r="M138">
        <f>J138/I138</f>
        <v>0.70409731113956475</v>
      </c>
      <c r="N138">
        <v>75.004999999999995</v>
      </c>
      <c r="O138">
        <v>51.798000000000002</v>
      </c>
      <c r="P138">
        <v>2.2679999999999998</v>
      </c>
      <c r="Q138">
        <v>4.0739999999999998</v>
      </c>
      <c r="R138">
        <f>Q138-P138</f>
        <v>1.806</v>
      </c>
      <c r="S138" s="8">
        <f>(R138/(N138-O138))*100</f>
        <v>7.7821347007368491</v>
      </c>
      <c r="U138" t="s">
        <v>83</v>
      </c>
    </row>
    <row r="139" spans="1:21" x14ac:dyDescent="0.2">
      <c r="A139">
        <v>20250826</v>
      </c>
      <c r="B139" t="s">
        <v>61</v>
      </c>
      <c r="C139" t="s">
        <v>28</v>
      </c>
      <c r="D139" s="5" t="s">
        <v>14</v>
      </c>
      <c r="E139" t="s">
        <v>23</v>
      </c>
      <c r="F139" t="s">
        <v>16</v>
      </c>
      <c r="G139">
        <v>635</v>
      </c>
      <c r="H139">
        <v>0</v>
      </c>
      <c r="I139">
        <v>75.19</v>
      </c>
      <c r="J139">
        <v>55.44</v>
      </c>
      <c r="K139">
        <v>29.65</v>
      </c>
      <c r="L139">
        <f>K139/I139</f>
        <v>0.39433435297246971</v>
      </c>
      <c r="M139">
        <f>J139/I139</f>
        <v>0.73733209203351513</v>
      </c>
      <c r="N139">
        <v>77.551000000000002</v>
      </c>
      <c r="O139">
        <v>52.783000000000001</v>
      </c>
      <c r="P139">
        <v>2.286</v>
      </c>
      <c r="Q139">
        <v>5.3129999999999997</v>
      </c>
      <c r="R139">
        <f>Q139-P139</f>
        <v>3.0269999999999997</v>
      </c>
      <c r="S139" s="8">
        <f>(R139/(N139-O139))*100</f>
        <v>12.221414728682168</v>
      </c>
      <c r="U139" t="s">
        <v>83</v>
      </c>
    </row>
    <row r="140" spans="1:21" x14ac:dyDescent="0.2">
      <c r="A140">
        <v>20250826</v>
      </c>
      <c r="B140" t="s">
        <v>61</v>
      </c>
      <c r="C140" t="s">
        <v>29</v>
      </c>
      <c r="D140" s="5" t="s">
        <v>14</v>
      </c>
      <c r="E140" t="s">
        <v>15</v>
      </c>
      <c r="F140" t="s">
        <v>16</v>
      </c>
      <c r="G140">
        <v>636</v>
      </c>
      <c r="H140">
        <v>0</v>
      </c>
      <c r="I140">
        <v>63.06</v>
      </c>
      <c r="J140">
        <v>59.58</v>
      </c>
      <c r="K140">
        <v>27.05</v>
      </c>
      <c r="L140">
        <f>K140/I140</f>
        <v>0.42895654931810973</v>
      </c>
      <c r="M140">
        <f>J140/I140</f>
        <v>0.94481446241674594</v>
      </c>
      <c r="N140">
        <v>58.045999999999999</v>
      </c>
      <c r="O140">
        <v>42.408000000000001</v>
      </c>
      <c r="P140">
        <v>2.2360000000000002</v>
      </c>
      <c r="Q140">
        <v>4.0780000000000003</v>
      </c>
      <c r="R140">
        <f>Q140-P140</f>
        <v>1.8420000000000001</v>
      </c>
      <c r="S140" s="8">
        <f>(R140/(N140-O140))*100</f>
        <v>11.778999872106409</v>
      </c>
      <c r="U140" t="s">
        <v>83</v>
      </c>
    </row>
    <row r="141" spans="1:21" x14ac:dyDescent="0.2">
      <c r="A141">
        <v>20250826</v>
      </c>
      <c r="B141" t="s">
        <v>61</v>
      </c>
      <c r="C141" t="s">
        <v>30</v>
      </c>
      <c r="D141" s="5" t="s">
        <v>14</v>
      </c>
      <c r="E141" t="s">
        <v>15</v>
      </c>
      <c r="F141" t="s">
        <v>16</v>
      </c>
      <c r="G141">
        <v>637</v>
      </c>
      <c r="H141">
        <v>1</v>
      </c>
      <c r="U141" t="s">
        <v>82</v>
      </c>
    </row>
    <row r="142" spans="1:21" x14ac:dyDescent="0.2">
      <c r="A142">
        <v>20250826</v>
      </c>
      <c r="B142" t="s">
        <v>61</v>
      </c>
      <c r="C142" t="s">
        <v>31</v>
      </c>
      <c r="D142" s="5" t="s">
        <v>14</v>
      </c>
      <c r="E142" t="s">
        <v>15</v>
      </c>
      <c r="F142" t="s">
        <v>16</v>
      </c>
      <c r="G142">
        <v>638</v>
      </c>
      <c r="H142">
        <v>1</v>
      </c>
      <c r="I142" s="10">
        <v>63.14</v>
      </c>
      <c r="T142" t="s">
        <v>79</v>
      </c>
      <c r="U142" t="s">
        <v>82</v>
      </c>
    </row>
    <row r="143" spans="1:21" x14ac:dyDescent="0.2">
      <c r="A143">
        <v>20250826</v>
      </c>
      <c r="B143" t="s">
        <v>61</v>
      </c>
      <c r="C143" t="s">
        <v>32</v>
      </c>
      <c r="D143" s="5" t="s">
        <v>14</v>
      </c>
      <c r="E143" t="s">
        <v>15</v>
      </c>
      <c r="F143" t="s">
        <v>16</v>
      </c>
      <c r="G143">
        <v>639</v>
      </c>
      <c r="H143">
        <v>0</v>
      </c>
      <c r="I143">
        <v>49.64</v>
      </c>
      <c r="J143">
        <v>43.5</v>
      </c>
      <c r="K143">
        <v>19.190000000000001</v>
      </c>
      <c r="L143">
        <f>K143/I143</f>
        <v>0.38658340048348111</v>
      </c>
      <c r="M143">
        <f>J143/I143</f>
        <v>0.87630942788074129</v>
      </c>
      <c r="N143">
        <v>25.841999999999999</v>
      </c>
      <c r="O143">
        <v>18.292999999999999</v>
      </c>
      <c r="P143">
        <v>2.2320000000000002</v>
      </c>
      <c r="Q143">
        <v>2.5089999999999999</v>
      </c>
      <c r="R143">
        <f>Q143-P143</f>
        <v>0.27699999999999969</v>
      </c>
      <c r="S143" s="8">
        <f>(R143/(N143-O143))*100</f>
        <v>3.6693601801563078</v>
      </c>
      <c r="U143" t="s">
        <v>83</v>
      </c>
    </row>
    <row r="144" spans="1:21" x14ac:dyDescent="0.2">
      <c r="A144">
        <v>20250826</v>
      </c>
      <c r="B144" t="s">
        <v>61</v>
      </c>
      <c r="C144" t="s">
        <v>33</v>
      </c>
      <c r="D144" s="5" t="s">
        <v>14</v>
      </c>
      <c r="E144" t="s">
        <v>15</v>
      </c>
      <c r="F144" t="s">
        <v>16</v>
      </c>
      <c r="G144">
        <v>640</v>
      </c>
      <c r="H144">
        <v>0</v>
      </c>
      <c r="I144">
        <v>53.18</v>
      </c>
      <c r="J144">
        <v>42.57</v>
      </c>
      <c r="K144">
        <v>25.24</v>
      </c>
      <c r="L144">
        <f>K144/I144</f>
        <v>0.47461451673561489</v>
      </c>
      <c r="M144">
        <f>J144/I144</f>
        <v>0.80048890560361041</v>
      </c>
      <c r="N144">
        <v>36.194000000000003</v>
      </c>
      <c r="O144">
        <v>24.027000000000001</v>
      </c>
      <c r="P144">
        <v>2.2490000000000001</v>
      </c>
      <c r="Q144">
        <v>3.14</v>
      </c>
      <c r="R144">
        <f>Q144-P144</f>
        <v>0.89100000000000001</v>
      </c>
      <c r="S144" s="8">
        <f>(R144/(N144-O144))*100</f>
        <v>7.3230870387112681</v>
      </c>
      <c r="U144" t="s">
        <v>83</v>
      </c>
    </row>
    <row r="145" spans="1:21" x14ac:dyDescent="0.2">
      <c r="A145">
        <v>20250826</v>
      </c>
      <c r="B145" t="s">
        <v>61</v>
      </c>
      <c r="C145" t="s">
        <v>34</v>
      </c>
      <c r="D145" s="5" t="s">
        <v>14</v>
      </c>
      <c r="E145" t="s">
        <v>15</v>
      </c>
      <c r="F145" t="s">
        <v>16</v>
      </c>
      <c r="G145">
        <v>641</v>
      </c>
      <c r="H145">
        <v>0</v>
      </c>
      <c r="I145">
        <v>60.19</v>
      </c>
      <c r="J145">
        <v>46.29</v>
      </c>
      <c r="K145">
        <v>23.56</v>
      </c>
      <c r="L145">
        <f>K145/I145</f>
        <v>0.39142714736667222</v>
      </c>
      <c r="M145">
        <f>J145/I145</f>
        <v>0.76906462867585978</v>
      </c>
      <c r="N145">
        <v>41.268999999999998</v>
      </c>
      <c r="O145">
        <v>29.555</v>
      </c>
      <c r="P145">
        <v>2.2810000000000001</v>
      </c>
      <c r="Q145">
        <v>2.9849999999999999</v>
      </c>
      <c r="R145">
        <f>Q145-P145</f>
        <v>0.70399999999999974</v>
      </c>
      <c r="S145" s="8">
        <f>(R145/(N145-O145))*100</f>
        <v>6.009902680553183</v>
      </c>
      <c r="U145" t="s">
        <v>83</v>
      </c>
    </row>
    <row r="146" spans="1:21" x14ac:dyDescent="0.2">
      <c r="A146">
        <v>20250826</v>
      </c>
      <c r="B146" t="s">
        <v>61</v>
      </c>
      <c r="C146" t="s">
        <v>35</v>
      </c>
      <c r="D146" s="5" t="s">
        <v>14</v>
      </c>
      <c r="E146" t="s">
        <v>23</v>
      </c>
      <c r="F146" t="s">
        <v>16</v>
      </c>
      <c r="G146">
        <v>642</v>
      </c>
      <c r="H146">
        <v>0</v>
      </c>
      <c r="I146">
        <v>81.44</v>
      </c>
      <c r="J146">
        <v>57.57</v>
      </c>
      <c r="K146">
        <v>28.31</v>
      </c>
      <c r="L146">
        <f>K146/I146</f>
        <v>0.34761787819253437</v>
      </c>
      <c r="M146">
        <f>J146/I146</f>
        <v>0.70690078585461691</v>
      </c>
      <c r="N146">
        <v>89.471000000000004</v>
      </c>
      <c r="O146">
        <v>61.984999999999999</v>
      </c>
      <c r="P146">
        <v>2.2490000000000001</v>
      </c>
      <c r="Q146">
        <v>5.1120000000000001</v>
      </c>
      <c r="R146">
        <f>Q146-P146</f>
        <v>2.863</v>
      </c>
      <c r="S146" s="8">
        <f>(R146/(N146-O146))*100</f>
        <v>10.416211889689295</v>
      </c>
      <c r="U146" t="s">
        <v>83</v>
      </c>
    </row>
    <row r="147" spans="1:21" x14ac:dyDescent="0.2">
      <c r="A147">
        <v>20250826</v>
      </c>
      <c r="B147" t="s">
        <v>61</v>
      </c>
      <c r="C147" t="s">
        <v>36</v>
      </c>
      <c r="D147" s="5" t="s">
        <v>14</v>
      </c>
      <c r="E147" t="s">
        <v>23</v>
      </c>
      <c r="F147" t="s">
        <v>16</v>
      </c>
      <c r="G147">
        <v>643</v>
      </c>
      <c r="H147">
        <v>1</v>
      </c>
      <c r="I147" s="10">
        <v>70.849999999999994</v>
      </c>
      <c r="U147" t="s">
        <v>82</v>
      </c>
    </row>
    <row r="148" spans="1:21" x14ac:dyDescent="0.2">
      <c r="A148">
        <v>20250826</v>
      </c>
      <c r="B148" t="s">
        <v>61</v>
      </c>
      <c r="C148" t="s">
        <v>37</v>
      </c>
      <c r="D148" s="5" t="s">
        <v>14</v>
      </c>
      <c r="E148" t="s">
        <v>23</v>
      </c>
      <c r="F148" t="s">
        <v>16</v>
      </c>
      <c r="G148">
        <v>644</v>
      </c>
      <c r="H148">
        <v>0</v>
      </c>
      <c r="I148">
        <v>77.180000000000007</v>
      </c>
      <c r="J148">
        <v>63.45</v>
      </c>
      <c r="K148">
        <v>25.08</v>
      </c>
      <c r="L148">
        <f>K148/I148</f>
        <v>0.32495465146410984</v>
      </c>
      <c r="M148">
        <f>J148/I148</f>
        <v>0.82210417206530184</v>
      </c>
      <c r="N148">
        <v>82.876999999999995</v>
      </c>
      <c r="O148">
        <v>61.906999999999996</v>
      </c>
      <c r="P148">
        <v>2.258</v>
      </c>
      <c r="Q148">
        <v>3.8220000000000001</v>
      </c>
      <c r="R148">
        <f>Q148-P148</f>
        <v>1.5640000000000001</v>
      </c>
      <c r="S148" s="8">
        <f>(R148/(N148-O148))*100</f>
        <v>7.4582737243681461</v>
      </c>
      <c r="U148" t="s">
        <v>83</v>
      </c>
    </row>
    <row r="149" spans="1:21" x14ac:dyDescent="0.2">
      <c r="A149">
        <v>20250826</v>
      </c>
      <c r="B149" t="s">
        <v>61</v>
      </c>
      <c r="C149" t="s">
        <v>38</v>
      </c>
      <c r="D149" s="5" t="s">
        <v>14</v>
      </c>
      <c r="E149" t="s">
        <v>23</v>
      </c>
      <c r="F149" t="s">
        <v>16</v>
      </c>
      <c r="G149">
        <v>645</v>
      </c>
      <c r="H149">
        <v>1</v>
      </c>
      <c r="U149" t="s">
        <v>82</v>
      </c>
    </row>
    <row r="150" spans="1:21" x14ac:dyDescent="0.2">
      <c r="A150">
        <v>20250826</v>
      </c>
      <c r="B150" t="s">
        <v>61</v>
      </c>
      <c r="C150" t="s">
        <v>39</v>
      </c>
      <c r="D150" s="5" t="s">
        <v>14</v>
      </c>
      <c r="E150" t="s">
        <v>23</v>
      </c>
      <c r="F150" t="s">
        <v>16</v>
      </c>
      <c r="G150">
        <v>646</v>
      </c>
      <c r="H150">
        <v>0</v>
      </c>
      <c r="I150">
        <v>77.930000000000007</v>
      </c>
      <c r="J150">
        <v>53.97</v>
      </c>
      <c r="K150">
        <v>31.82</v>
      </c>
      <c r="L150">
        <f>K150/I150</f>
        <v>0.40831515462594631</v>
      </c>
      <c r="M150">
        <f>J150/I150</f>
        <v>0.69254459129988444</v>
      </c>
      <c r="N150">
        <v>84.373999999999995</v>
      </c>
      <c r="O150">
        <v>56.683999999999997</v>
      </c>
      <c r="P150">
        <v>2.2429999999999999</v>
      </c>
      <c r="Q150">
        <v>5.4969999999999999</v>
      </c>
      <c r="R150">
        <f>Q150-P150</f>
        <v>3.254</v>
      </c>
      <c r="S150" s="8">
        <f>(R150/(N150-O150))*100</f>
        <v>11.751534850126401</v>
      </c>
      <c r="U150" t="s">
        <v>83</v>
      </c>
    </row>
    <row r="151" spans="1:21" x14ac:dyDescent="0.2">
      <c r="A151">
        <v>20250826</v>
      </c>
      <c r="B151" t="s">
        <v>61</v>
      </c>
      <c r="C151" t="s">
        <v>40</v>
      </c>
      <c r="D151" s="5" t="s">
        <v>14</v>
      </c>
      <c r="E151" t="s">
        <v>23</v>
      </c>
      <c r="F151" t="s">
        <v>16</v>
      </c>
      <c r="G151">
        <v>647</v>
      </c>
      <c r="U151" t="s">
        <v>82</v>
      </c>
    </row>
    <row r="152" spans="1:21" x14ac:dyDescent="0.2">
      <c r="A152">
        <v>20250826</v>
      </c>
      <c r="B152" t="s">
        <v>61</v>
      </c>
      <c r="C152" t="s">
        <v>41</v>
      </c>
      <c r="D152" s="5" t="s">
        <v>14</v>
      </c>
      <c r="E152" t="s">
        <v>15</v>
      </c>
      <c r="F152" t="s">
        <v>16</v>
      </c>
      <c r="G152">
        <v>648</v>
      </c>
      <c r="H152">
        <v>0</v>
      </c>
      <c r="I152">
        <v>73.900000000000006</v>
      </c>
      <c r="J152">
        <v>61</v>
      </c>
      <c r="K152">
        <v>28.41</v>
      </c>
      <c r="L152">
        <f>K152/I152</f>
        <v>0.38443843031123137</v>
      </c>
      <c r="M152">
        <f>J152/I152</f>
        <v>0.82543978349120428</v>
      </c>
      <c r="N152">
        <v>83.194999999999993</v>
      </c>
      <c r="O152">
        <v>61.201999999999998</v>
      </c>
      <c r="P152">
        <v>2.25</v>
      </c>
      <c r="Q152">
        <v>4.508</v>
      </c>
      <c r="R152">
        <f>Q152-P152</f>
        <v>2.258</v>
      </c>
      <c r="S152" s="8">
        <f>(R152/(N152-O152))*100</f>
        <v>10.266903105533581</v>
      </c>
      <c r="U152" t="s">
        <v>83</v>
      </c>
    </row>
    <row r="153" spans="1:21" x14ac:dyDescent="0.2">
      <c r="A153">
        <v>20250826</v>
      </c>
      <c r="B153" t="s">
        <v>61</v>
      </c>
      <c r="C153" t="s">
        <v>42</v>
      </c>
      <c r="D153" s="5" t="s">
        <v>14</v>
      </c>
      <c r="E153" t="s">
        <v>15</v>
      </c>
      <c r="F153" t="s">
        <v>16</v>
      </c>
      <c r="G153">
        <v>649</v>
      </c>
      <c r="H153">
        <v>0</v>
      </c>
      <c r="I153">
        <v>55.37</v>
      </c>
      <c r="J153">
        <v>47.86</v>
      </c>
      <c r="K153">
        <v>21.96</v>
      </c>
      <c r="L153">
        <f>K153/I153</f>
        <v>0.39660465956294028</v>
      </c>
      <c r="M153">
        <f>J153/I153</f>
        <v>0.86436698573234605</v>
      </c>
      <c r="N153">
        <v>43.35</v>
      </c>
      <c r="O153">
        <v>29.652999999999999</v>
      </c>
      <c r="P153">
        <v>2.2189999999999999</v>
      </c>
      <c r="Q153">
        <v>3.6749999999999998</v>
      </c>
      <c r="R153">
        <f>Q153-P153</f>
        <v>1.456</v>
      </c>
      <c r="S153" s="8">
        <f>(R153/(N153-O153))*100</f>
        <v>10.630064977732347</v>
      </c>
      <c r="U153" t="s">
        <v>83</v>
      </c>
    </row>
    <row r="154" spans="1:21" x14ac:dyDescent="0.2">
      <c r="A154">
        <v>20250826</v>
      </c>
      <c r="B154" t="s">
        <v>61</v>
      </c>
      <c r="C154" t="s">
        <v>43</v>
      </c>
      <c r="D154" s="5" t="s">
        <v>14</v>
      </c>
      <c r="E154" t="s">
        <v>15</v>
      </c>
      <c r="F154" t="s">
        <v>16</v>
      </c>
      <c r="G154">
        <v>650</v>
      </c>
      <c r="H154">
        <v>0</v>
      </c>
      <c r="I154">
        <v>63.48</v>
      </c>
      <c r="J154">
        <v>50.57</v>
      </c>
      <c r="K154">
        <v>21.12</v>
      </c>
      <c r="L154">
        <f>K154/I154</f>
        <v>0.33270321361058602</v>
      </c>
      <c r="M154">
        <f>J154/I154</f>
        <v>0.79662885948330187</v>
      </c>
      <c r="N154">
        <v>44.350999999999999</v>
      </c>
      <c r="O154">
        <v>31.67</v>
      </c>
      <c r="P154">
        <v>2.2429999999999999</v>
      </c>
      <c r="Q154">
        <v>3.31</v>
      </c>
      <c r="R154">
        <f>Q154-P154</f>
        <v>1.0670000000000002</v>
      </c>
      <c r="S154" s="8">
        <f>(R154/(N154-O154))*100</f>
        <v>8.4141629209052944</v>
      </c>
      <c r="U154" t="s">
        <v>83</v>
      </c>
    </row>
    <row r="155" spans="1:21" x14ac:dyDescent="0.2">
      <c r="A155">
        <v>20250826</v>
      </c>
      <c r="B155" t="s">
        <v>61</v>
      </c>
      <c r="C155" t="s">
        <v>44</v>
      </c>
      <c r="D155" s="5" t="s">
        <v>14</v>
      </c>
      <c r="E155" t="s">
        <v>15</v>
      </c>
      <c r="F155" t="s">
        <v>16</v>
      </c>
      <c r="G155">
        <v>651</v>
      </c>
      <c r="H155">
        <v>0</v>
      </c>
      <c r="I155">
        <v>71.31</v>
      </c>
      <c r="J155">
        <v>47.65</v>
      </c>
      <c r="K155">
        <v>27.96</v>
      </c>
      <c r="L155">
        <f>K155/I155</f>
        <v>0.39209087084560368</v>
      </c>
      <c r="M155">
        <f>J155/I155</f>
        <v>0.66820922731734678</v>
      </c>
      <c r="N155">
        <v>62.276000000000003</v>
      </c>
      <c r="O155">
        <v>41.664999999999999</v>
      </c>
      <c r="P155">
        <v>2.4129999999999998</v>
      </c>
      <c r="Q155">
        <v>4.484</v>
      </c>
      <c r="R155">
        <f>Q155-P155</f>
        <v>2.0710000000000002</v>
      </c>
      <c r="S155" s="8">
        <f>(R155/(N155-O155))*100</f>
        <v>10.048032603949347</v>
      </c>
      <c r="U155" t="s">
        <v>83</v>
      </c>
    </row>
    <row r="156" spans="1:21" x14ac:dyDescent="0.2">
      <c r="A156">
        <v>20250826</v>
      </c>
      <c r="B156" t="s">
        <v>61</v>
      </c>
      <c r="C156" t="s">
        <v>45</v>
      </c>
      <c r="D156" s="5" t="s">
        <v>14</v>
      </c>
      <c r="E156" t="s">
        <v>15</v>
      </c>
      <c r="F156" t="s">
        <v>16</v>
      </c>
      <c r="G156">
        <v>652</v>
      </c>
      <c r="H156">
        <v>1</v>
      </c>
      <c r="I156">
        <v>45.61</v>
      </c>
      <c r="U156" t="s">
        <v>82</v>
      </c>
    </row>
    <row r="157" spans="1:21" x14ac:dyDescent="0.2">
      <c r="A157">
        <v>20250826</v>
      </c>
      <c r="B157" t="s">
        <v>61</v>
      </c>
      <c r="C157" t="s">
        <v>46</v>
      </c>
      <c r="D157" s="5" t="s">
        <v>14</v>
      </c>
      <c r="E157" t="s">
        <v>15</v>
      </c>
      <c r="F157" t="s">
        <v>16</v>
      </c>
      <c r="G157">
        <v>653</v>
      </c>
      <c r="H157">
        <v>0</v>
      </c>
      <c r="I157">
        <v>60.37</v>
      </c>
      <c r="J157">
        <v>47.63</v>
      </c>
      <c r="K157">
        <v>26.06</v>
      </c>
      <c r="L157">
        <f>K157/I157</f>
        <v>0.43167135994699352</v>
      </c>
      <c r="M157">
        <f>J157/I157</f>
        <v>0.78896803047871467</v>
      </c>
      <c r="N157">
        <v>45.991</v>
      </c>
      <c r="O157">
        <v>32.478999999999999</v>
      </c>
      <c r="P157">
        <v>2.331</v>
      </c>
      <c r="Q157">
        <v>2.996</v>
      </c>
      <c r="R157">
        <f>Q157-P157</f>
        <v>0.66500000000000004</v>
      </c>
      <c r="S157" s="8">
        <f>(R157/(N157-O157))*100</f>
        <v>4.9215512137359383</v>
      </c>
      <c r="U157" t="s">
        <v>83</v>
      </c>
    </row>
    <row r="158" spans="1:21" x14ac:dyDescent="0.2">
      <c r="A158">
        <v>20250826</v>
      </c>
      <c r="B158" t="s">
        <v>61</v>
      </c>
      <c r="C158" t="s">
        <v>47</v>
      </c>
      <c r="D158" s="5" t="s">
        <v>14</v>
      </c>
      <c r="E158" t="s">
        <v>23</v>
      </c>
      <c r="F158" t="s">
        <v>16</v>
      </c>
      <c r="G158">
        <v>654</v>
      </c>
      <c r="H158">
        <v>0</v>
      </c>
      <c r="I158">
        <v>69.8</v>
      </c>
      <c r="J158">
        <v>55.77</v>
      </c>
      <c r="K158">
        <v>26.17</v>
      </c>
      <c r="L158">
        <f>K158/I158</f>
        <v>0.37492836676217767</v>
      </c>
      <c r="M158">
        <f>J158/I158</f>
        <v>0.79899713467048716</v>
      </c>
      <c r="N158">
        <v>63.31</v>
      </c>
      <c r="O158">
        <v>46.106000000000002</v>
      </c>
      <c r="P158">
        <v>2.246</v>
      </c>
      <c r="Q158">
        <v>3.81</v>
      </c>
      <c r="R158">
        <f>Q158-P158</f>
        <v>1.5640000000000001</v>
      </c>
      <c r="S158" s="8">
        <f>(R158/(N158-O158))*100</f>
        <v>9.0909090909090917</v>
      </c>
      <c r="U158" t="s">
        <v>83</v>
      </c>
    </row>
    <row r="159" spans="1:21" x14ac:dyDescent="0.2">
      <c r="A159">
        <v>20250826</v>
      </c>
      <c r="B159" t="s">
        <v>61</v>
      </c>
      <c r="C159" t="s">
        <v>48</v>
      </c>
      <c r="D159" s="5" t="s">
        <v>14</v>
      </c>
      <c r="E159" t="s">
        <v>23</v>
      </c>
      <c r="F159" t="s">
        <v>16</v>
      </c>
      <c r="G159">
        <v>655</v>
      </c>
      <c r="H159">
        <v>0</v>
      </c>
      <c r="I159">
        <v>65.87</v>
      </c>
      <c r="J159">
        <v>47</v>
      </c>
      <c r="K159">
        <v>28.06</v>
      </c>
      <c r="L159">
        <f>K159/I159</f>
        <v>0.42599058752087438</v>
      </c>
      <c r="M159">
        <f>J159/I159</f>
        <v>0.71352664338849248</v>
      </c>
      <c r="N159">
        <v>62.317999999999998</v>
      </c>
      <c r="O159">
        <v>48.116999999999997</v>
      </c>
      <c r="P159">
        <v>2.2189999999999999</v>
      </c>
      <c r="Q159">
        <v>3.198</v>
      </c>
      <c r="R159">
        <f>Q159-P159</f>
        <v>0.97900000000000009</v>
      </c>
      <c r="S159" s="8">
        <f>(R159/(N159-O159))*100</f>
        <v>6.8938807126258714</v>
      </c>
      <c r="U159" t="s">
        <v>83</v>
      </c>
    </row>
    <row r="160" spans="1:21" x14ac:dyDescent="0.2">
      <c r="A160">
        <v>20250826</v>
      </c>
      <c r="B160" t="s">
        <v>61</v>
      </c>
      <c r="C160" t="s">
        <v>49</v>
      </c>
      <c r="D160" s="5" t="s">
        <v>14</v>
      </c>
      <c r="E160" t="s">
        <v>23</v>
      </c>
      <c r="F160" t="s">
        <v>16</v>
      </c>
      <c r="G160">
        <v>656</v>
      </c>
      <c r="H160">
        <v>1</v>
      </c>
      <c r="U160" t="s">
        <v>82</v>
      </c>
    </row>
    <row r="161" spans="1:21" x14ac:dyDescent="0.2">
      <c r="A161">
        <v>20250826</v>
      </c>
      <c r="B161" t="s">
        <v>61</v>
      </c>
      <c r="C161" t="s">
        <v>50</v>
      </c>
      <c r="D161" s="5" t="s">
        <v>14</v>
      </c>
      <c r="E161" t="s">
        <v>23</v>
      </c>
      <c r="F161" t="s">
        <v>16</v>
      </c>
      <c r="G161">
        <v>657</v>
      </c>
      <c r="H161">
        <v>1</v>
      </c>
      <c r="I161">
        <v>58.19</v>
      </c>
      <c r="U161" t="s">
        <v>82</v>
      </c>
    </row>
    <row r="162" spans="1:21" x14ac:dyDescent="0.2">
      <c r="A162">
        <v>20250826</v>
      </c>
      <c r="B162" t="s">
        <v>61</v>
      </c>
      <c r="C162" t="s">
        <v>51</v>
      </c>
      <c r="D162" s="5" t="s">
        <v>14</v>
      </c>
      <c r="E162" t="s">
        <v>23</v>
      </c>
      <c r="F162" t="s">
        <v>16</v>
      </c>
      <c r="G162">
        <v>658</v>
      </c>
      <c r="H162">
        <v>0</v>
      </c>
      <c r="I162">
        <v>74.42</v>
      </c>
      <c r="J162">
        <v>59.14</v>
      </c>
      <c r="K162">
        <v>29.76</v>
      </c>
      <c r="L162">
        <f>K162/I162</f>
        <v>0.39989250201558724</v>
      </c>
      <c r="M162">
        <f>J162/I162</f>
        <v>0.79467884977156678</v>
      </c>
      <c r="N162">
        <v>85.210999999999999</v>
      </c>
      <c r="O162">
        <v>56.759</v>
      </c>
      <c r="P162">
        <v>2.2559999999999998</v>
      </c>
      <c r="Q162">
        <v>5.274</v>
      </c>
      <c r="R162">
        <f>Q162-P162</f>
        <v>3.0180000000000002</v>
      </c>
      <c r="S162" s="8">
        <f>(R162/(N162-O162))*100</f>
        <v>10.607338675664279</v>
      </c>
      <c r="U162" t="s">
        <v>83</v>
      </c>
    </row>
    <row r="163" spans="1:21" x14ac:dyDescent="0.2">
      <c r="A163">
        <v>20250826</v>
      </c>
      <c r="B163" t="s">
        <v>61</v>
      </c>
      <c r="C163" t="s">
        <v>52</v>
      </c>
      <c r="D163" s="5" t="s">
        <v>14</v>
      </c>
      <c r="E163" t="s">
        <v>23</v>
      </c>
      <c r="F163" t="s">
        <v>16</v>
      </c>
      <c r="G163">
        <v>659</v>
      </c>
      <c r="H163">
        <v>1</v>
      </c>
      <c r="I163">
        <v>53.31</v>
      </c>
      <c r="T163" t="s">
        <v>78</v>
      </c>
      <c r="U163" t="s">
        <v>82</v>
      </c>
    </row>
    <row r="164" spans="1:21" x14ac:dyDescent="0.2">
      <c r="A164">
        <v>20250826</v>
      </c>
      <c r="B164" t="s">
        <v>61</v>
      </c>
      <c r="C164" t="s">
        <v>53</v>
      </c>
      <c r="D164" s="5" t="s">
        <v>14</v>
      </c>
      <c r="E164" t="s">
        <v>15</v>
      </c>
      <c r="F164" t="s">
        <v>16</v>
      </c>
      <c r="G164">
        <v>660</v>
      </c>
      <c r="H164">
        <v>0</v>
      </c>
      <c r="I164">
        <v>57.01</v>
      </c>
      <c r="J164">
        <v>49.59</v>
      </c>
      <c r="K164">
        <v>22.79</v>
      </c>
      <c r="L164">
        <f>K164/I164</f>
        <v>0.3997544290475355</v>
      </c>
      <c r="M164">
        <f>J164/I164</f>
        <v>0.8698473951938257</v>
      </c>
      <c r="N164">
        <v>38.698999999999998</v>
      </c>
      <c r="O164">
        <v>26.021000000000001</v>
      </c>
      <c r="P164">
        <v>2.2429999999999999</v>
      </c>
      <c r="Q164">
        <v>3.331</v>
      </c>
      <c r="R164">
        <f>Q164-P164</f>
        <v>1.0880000000000001</v>
      </c>
      <c r="S164" s="8">
        <f>(R164/(N164-O164))*100</f>
        <v>8.5817952358416179</v>
      </c>
      <c r="U164" t="s">
        <v>83</v>
      </c>
    </row>
    <row r="165" spans="1:21" x14ac:dyDescent="0.2">
      <c r="A165">
        <v>20250826</v>
      </c>
      <c r="B165" t="s">
        <v>61</v>
      </c>
      <c r="C165" t="s">
        <v>54</v>
      </c>
      <c r="D165" s="5" t="s">
        <v>14</v>
      </c>
      <c r="E165" t="s">
        <v>15</v>
      </c>
      <c r="F165" t="s">
        <v>16</v>
      </c>
      <c r="G165">
        <v>661</v>
      </c>
      <c r="H165">
        <v>0</v>
      </c>
      <c r="I165">
        <v>63.69</v>
      </c>
      <c r="J165">
        <v>53.29</v>
      </c>
      <c r="K165">
        <v>24.61</v>
      </c>
      <c r="L165">
        <f>K165/I165</f>
        <v>0.38640288899356257</v>
      </c>
      <c r="M165">
        <f>J165/I165</f>
        <v>0.83670905950698693</v>
      </c>
      <c r="N165">
        <v>60.420999999999999</v>
      </c>
      <c r="O165">
        <v>41.664000000000001</v>
      </c>
      <c r="P165">
        <v>2.234</v>
      </c>
      <c r="Q165">
        <v>3.9220000000000002</v>
      </c>
      <c r="R165">
        <f>Q165-P165</f>
        <v>1.6880000000000002</v>
      </c>
      <c r="S165" s="8">
        <f>(R165/(N165-O165))*100</f>
        <v>8.9993069254145137</v>
      </c>
      <c r="U165" t="s">
        <v>83</v>
      </c>
    </row>
    <row r="166" spans="1:21" x14ac:dyDescent="0.2">
      <c r="A166">
        <v>20250826</v>
      </c>
      <c r="B166" t="s">
        <v>61</v>
      </c>
      <c r="C166" t="s">
        <v>55</v>
      </c>
      <c r="D166" s="5" t="s">
        <v>14</v>
      </c>
      <c r="E166" t="s">
        <v>15</v>
      </c>
      <c r="F166" t="s">
        <v>16</v>
      </c>
      <c r="G166">
        <v>662</v>
      </c>
      <c r="U166" t="s">
        <v>82</v>
      </c>
    </row>
    <row r="167" spans="1:21" x14ac:dyDescent="0.2">
      <c r="A167">
        <v>20250826</v>
      </c>
      <c r="B167" t="s">
        <v>61</v>
      </c>
      <c r="C167" t="s">
        <v>56</v>
      </c>
      <c r="D167" s="5" t="s">
        <v>14</v>
      </c>
      <c r="E167" t="s">
        <v>15</v>
      </c>
      <c r="F167" t="s">
        <v>16</v>
      </c>
      <c r="G167">
        <v>663</v>
      </c>
      <c r="H167">
        <v>0</v>
      </c>
      <c r="I167">
        <v>65.17</v>
      </c>
      <c r="J167">
        <v>62.79</v>
      </c>
      <c r="K167">
        <v>27.29</v>
      </c>
      <c r="L167">
        <f>K167/I167</f>
        <v>0.41875095903022863</v>
      </c>
      <c r="M167">
        <f>J167/I167</f>
        <v>0.96348012889366264</v>
      </c>
      <c r="N167">
        <v>66.191000000000003</v>
      </c>
      <c r="O167">
        <v>48.043999999999997</v>
      </c>
      <c r="P167">
        <v>2.2349999999999999</v>
      </c>
      <c r="Q167">
        <v>3.7160000000000002</v>
      </c>
      <c r="R167">
        <f>Q167-P167</f>
        <v>1.4810000000000003</v>
      </c>
      <c r="S167" s="8">
        <f>(R167/(N167-O167))*100</f>
        <v>8.1611285611946869</v>
      </c>
      <c r="U167" t="s">
        <v>83</v>
      </c>
    </row>
    <row r="168" spans="1:21" x14ac:dyDescent="0.2">
      <c r="A168">
        <v>20250826</v>
      </c>
      <c r="B168" t="s">
        <v>61</v>
      </c>
      <c r="C168" t="s">
        <v>57</v>
      </c>
      <c r="D168" s="5" t="s">
        <v>14</v>
      </c>
      <c r="E168" t="s">
        <v>15</v>
      </c>
      <c r="F168" t="s">
        <v>16</v>
      </c>
      <c r="G168">
        <v>664</v>
      </c>
      <c r="H168">
        <v>0</v>
      </c>
      <c r="I168">
        <v>57.38</v>
      </c>
      <c r="J168">
        <v>44.86</v>
      </c>
      <c r="K168">
        <v>26.66</v>
      </c>
      <c r="L168">
        <f>K168/I168</f>
        <v>0.46462181944928543</v>
      </c>
      <c r="M168">
        <f>J168/I168</f>
        <v>0.7818055071453468</v>
      </c>
      <c r="N168">
        <v>50.668999999999997</v>
      </c>
      <c r="O168">
        <v>34.212000000000003</v>
      </c>
      <c r="P168">
        <v>2.2269999999999999</v>
      </c>
      <c r="Q168">
        <v>3.0870000000000002</v>
      </c>
      <c r="R168">
        <f>Q168-P168</f>
        <v>0.86000000000000032</v>
      </c>
      <c r="S168" s="8">
        <f>(R168/(N168-O168))*100</f>
        <v>5.2257398067691598</v>
      </c>
      <c r="U168" t="s">
        <v>83</v>
      </c>
    </row>
    <row r="169" spans="1:21" x14ac:dyDescent="0.2">
      <c r="A169">
        <v>20250826</v>
      </c>
      <c r="B169" t="s">
        <v>61</v>
      </c>
      <c r="C169" t="s">
        <v>58</v>
      </c>
      <c r="D169" s="5" t="s">
        <v>14</v>
      </c>
      <c r="E169" t="s">
        <v>15</v>
      </c>
      <c r="F169" t="s">
        <v>16</v>
      </c>
      <c r="G169">
        <v>665</v>
      </c>
      <c r="H169">
        <v>0</v>
      </c>
      <c r="I169">
        <v>59.77</v>
      </c>
      <c r="J169">
        <v>50.52</v>
      </c>
      <c r="K169">
        <v>26.06</v>
      </c>
      <c r="L169">
        <f>K169/I169</f>
        <v>0.43600468462439346</v>
      </c>
      <c r="M169">
        <f>J169/I169</f>
        <v>0.84524008700016728</v>
      </c>
      <c r="N169">
        <v>48.954999999999998</v>
      </c>
      <c r="O169">
        <v>30.795000000000002</v>
      </c>
      <c r="P169">
        <v>2.2490000000000001</v>
      </c>
      <c r="Q169">
        <v>3.4580000000000002</v>
      </c>
      <c r="R169">
        <f>Q169-P169</f>
        <v>1.2090000000000001</v>
      </c>
      <c r="S169" s="8">
        <f>(R169/(N169-O169))*100</f>
        <v>6.6574889867841422</v>
      </c>
      <c r="U169" t="s">
        <v>83</v>
      </c>
    </row>
    <row r="170" spans="1:21" x14ac:dyDescent="0.2">
      <c r="A170" s="5"/>
      <c r="D170" s="5"/>
    </row>
    <row r="171" spans="1:21" x14ac:dyDescent="0.2">
      <c r="A171" s="5"/>
      <c r="D171" s="5"/>
    </row>
    <row r="172" spans="1:21" x14ac:dyDescent="0.2">
      <c r="A172" s="5"/>
      <c r="D172" s="5"/>
    </row>
    <row r="173" spans="1:21" x14ac:dyDescent="0.2">
      <c r="A173" s="5"/>
      <c r="D173" s="5"/>
    </row>
    <row r="174" spans="1:21" x14ac:dyDescent="0.2">
      <c r="A174" s="5"/>
      <c r="D174" s="5"/>
    </row>
    <row r="175" spans="1:21" x14ac:dyDescent="0.2">
      <c r="A175" s="5"/>
      <c r="D175" s="5"/>
    </row>
    <row r="176" spans="1:21" x14ac:dyDescent="0.2">
      <c r="A176" s="5"/>
      <c r="D176" s="5"/>
    </row>
    <row r="177" spans="1:4" x14ac:dyDescent="0.2">
      <c r="A177" s="5"/>
      <c r="D177" s="5"/>
    </row>
    <row r="178" spans="1:4" x14ac:dyDescent="0.2">
      <c r="A178" s="5"/>
      <c r="D178" s="5"/>
    </row>
    <row r="179" spans="1:4" x14ac:dyDescent="0.2">
      <c r="A179" s="5"/>
      <c r="D179" s="5"/>
    </row>
    <row r="180" spans="1:4" x14ac:dyDescent="0.2">
      <c r="A180" s="5"/>
      <c r="D180" s="5"/>
    </row>
    <row r="181" spans="1:4" x14ac:dyDescent="0.2">
      <c r="A181" s="5"/>
      <c r="D181" s="5"/>
    </row>
    <row r="182" spans="1:4" x14ac:dyDescent="0.2">
      <c r="A182" s="5"/>
      <c r="D182" s="5"/>
    </row>
    <row r="183" spans="1:4" x14ac:dyDescent="0.2">
      <c r="A183" s="5"/>
      <c r="D183" s="5"/>
    </row>
    <row r="184" spans="1:4" x14ac:dyDescent="0.2">
      <c r="A184" s="5"/>
      <c r="D184" s="5"/>
    </row>
    <row r="185" spans="1:4" x14ac:dyDescent="0.2">
      <c r="A185" s="5"/>
      <c r="D185" s="5"/>
    </row>
    <row r="186" spans="1:4" x14ac:dyDescent="0.2">
      <c r="A186" s="5"/>
      <c r="D186" s="5"/>
    </row>
    <row r="187" spans="1:4" x14ac:dyDescent="0.2">
      <c r="A187" s="5"/>
      <c r="D187" s="5"/>
    </row>
    <row r="188" spans="1:4" x14ac:dyDescent="0.2">
      <c r="A188" s="5"/>
      <c r="D188" s="5"/>
    </row>
    <row r="189" spans="1:4" x14ac:dyDescent="0.2">
      <c r="A189" s="5"/>
      <c r="D189" s="5"/>
    </row>
    <row r="190" spans="1:4" x14ac:dyDescent="0.2">
      <c r="A190" s="5"/>
      <c r="D190" s="5"/>
    </row>
    <row r="191" spans="1:4" x14ac:dyDescent="0.2">
      <c r="A191" s="5"/>
      <c r="D191" s="5"/>
    </row>
    <row r="192" spans="1:4" x14ac:dyDescent="0.2">
      <c r="A192" s="5"/>
      <c r="D192" s="5"/>
    </row>
    <row r="193" spans="1:4" x14ac:dyDescent="0.2">
      <c r="A193" s="5"/>
      <c r="D193" s="5"/>
    </row>
    <row r="194" spans="1:4" x14ac:dyDescent="0.2">
      <c r="A194" s="5"/>
      <c r="D194" s="5"/>
    </row>
    <row r="195" spans="1:4" x14ac:dyDescent="0.2">
      <c r="A195" s="5"/>
      <c r="D195" s="5"/>
    </row>
    <row r="196" spans="1:4" x14ac:dyDescent="0.2">
      <c r="A196" s="5"/>
      <c r="D196" s="5"/>
    </row>
    <row r="197" spans="1:4" x14ac:dyDescent="0.2">
      <c r="A197" s="5"/>
      <c r="D197" s="5"/>
    </row>
    <row r="198" spans="1:4" x14ac:dyDescent="0.2">
      <c r="A198" s="5"/>
      <c r="D198" s="5"/>
    </row>
    <row r="199" spans="1:4" x14ac:dyDescent="0.2">
      <c r="A199" s="5"/>
      <c r="D199" s="5"/>
    </row>
    <row r="200" spans="1:4" x14ac:dyDescent="0.2">
      <c r="A200" s="5"/>
      <c r="D200" s="5"/>
    </row>
    <row r="201" spans="1:4" x14ac:dyDescent="0.2">
      <c r="A201" s="5"/>
      <c r="D201" s="5"/>
    </row>
    <row r="202" spans="1:4" x14ac:dyDescent="0.2">
      <c r="A202" s="5"/>
      <c r="D202" s="5"/>
    </row>
    <row r="203" spans="1:4" x14ac:dyDescent="0.2">
      <c r="A203" s="5"/>
      <c r="D203" s="5"/>
    </row>
    <row r="204" spans="1:4" x14ac:dyDescent="0.2">
      <c r="A204" s="5"/>
      <c r="D204" s="5"/>
    </row>
    <row r="205" spans="1:4" x14ac:dyDescent="0.2">
      <c r="A205" s="5"/>
      <c r="D205" s="5"/>
    </row>
    <row r="206" spans="1:4" x14ac:dyDescent="0.2">
      <c r="A206" s="5"/>
      <c r="D206" s="5"/>
    </row>
    <row r="207" spans="1:4" x14ac:dyDescent="0.2">
      <c r="A207" s="5"/>
      <c r="D207" s="5"/>
    </row>
    <row r="208" spans="1:4" x14ac:dyDescent="0.2">
      <c r="A208" s="5"/>
      <c r="D208" s="5"/>
    </row>
    <row r="209" spans="1:4" x14ac:dyDescent="0.2">
      <c r="A209" s="5"/>
      <c r="D209" s="5"/>
    </row>
    <row r="210" spans="1:4" x14ac:dyDescent="0.2">
      <c r="A210" s="5"/>
      <c r="D210" s="5"/>
    </row>
    <row r="211" spans="1:4" x14ac:dyDescent="0.2">
      <c r="A211" s="5"/>
      <c r="D211" s="5"/>
    </row>
    <row r="212" spans="1:4" x14ac:dyDescent="0.2">
      <c r="A212" s="5"/>
      <c r="D212" s="5"/>
    </row>
    <row r="213" spans="1:4" x14ac:dyDescent="0.2">
      <c r="A213" s="5"/>
      <c r="D213" s="5"/>
    </row>
    <row r="214" spans="1:4" x14ac:dyDescent="0.2">
      <c r="A214" s="5"/>
      <c r="D214" s="5"/>
    </row>
    <row r="215" spans="1:4" x14ac:dyDescent="0.2">
      <c r="A215" s="5"/>
      <c r="D215" s="5"/>
    </row>
    <row r="216" spans="1:4" x14ac:dyDescent="0.2">
      <c r="A216" s="5"/>
      <c r="D216" s="5"/>
    </row>
    <row r="217" spans="1:4" x14ac:dyDescent="0.2">
      <c r="A217" s="5"/>
      <c r="D217" s="5"/>
    </row>
    <row r="218" spans="1:4" x14ac:dyDescent="0.2">
      <c r="A218" s="5"/>
      <c r="D218" s="5"/>
    </row>
    <row r="219" spans="1:4" x14ac:dyDescent="0.2">
      <c r="A219" s="5"/>
      <c r="D219" s="5"/>
    </row>
    <row r="220" spans="1:4" x14ac:dyDescent="0.2">
      <c r="A220" s="5"/>
      <c r="D220" s="5"/>
    </row>
    <row r="221" spans="1:4" x14ac:dyDescent="0.2">
      <c r="A221" s="5"/>
      <c r="D221" s="5"/>
    </row>
    <row r="222" spans="1:4" x14ac:dyDescent="0.2">
      <c r="A222" s="5"/>
      <c r="D222" s="5"/>
    </row>
    <row r="223" spans="1:4" x14ac:dyDescent="0.2">
      <c r="A223" s="5"/>
      <c r="D223" s="5"/>
    </row>
    <row r="224" spans="1:4" x14ac:dyDescent="0.2">
      <c r="A224" s="5"/>
      <c r="D224" s="5"/>
    </row>
    <row r="225" spans="1:4" x14ac:dyDescent="0.2">
      <c r="A225" s="5"/>
      <c r="D225" s="5"/>
    </row>
    <row r="226" spans="1:4" x14ac:dyDescent="0.2">
      <c r="A226" s="5"/>
      <c r="D226" s="5"/>
    </row>
    <row r="227" spans="1:4" x14ac:dyDescent="0.2">
      <c r="A227" s="5"/>
      <c r="D227" s="5"/>
    </row>
    <row r="228" spans="1:4" x14ac:dyDescent="0.2">
      <c r="A228" s="5"/>
      <c r="D228" s="5"/>
    </row>
    <row r="229" spans="1:4" x14ac:dyDescent="0.2">
      <c r="A229" s="5"/>
      <c r="D229" s="5"/>
    </row>
    <row r="230" spans="1:4" x14ac:dyDescent="0.2">
      <c r="A230" s="5"/>
      <c r="D230" s="5"/>
    </row>
    <row r="231" spans="1:4" x14ac:dyDescent="0.2">
      <c r="A231" s="5"/>
      <c r="D231" s="5"/>
    </row>
    <row r="232" spans="1:4" x14ac:dyDescent="0.2">
      <c r="A232" s="5"/>
      <c r="D232" s="5"/>
    </row>
    <row r="233" spans="1:4" x14ac:dyDescent="0.2">
      <c r="A233" s="5"/>
      <c r="D233" s="5"/>
    </row>
    <row r="234" spans="1:4" x14ac:dyDescent="0.2">
      <c r="A234" s="5"/>
      <c r="D234" s="5"/>
    </row>
    <row r="235" spans="1:4" x14ac:dyDescent="0.2">
      <c r="A235" s="5"/>
      <c r="D235" s="5"/>
    </row>
    <row r="236" spans="1:4" x14ac:dyDescent="0.2">
      <c r="A236" s="5"/>
      <c r="D236" s="5"/>
    </row>
    <row r="237" spans="1:4" x14ac:dyDescent="0.2">
      <c r="A237" s="5"/>
      <c r="D237" s="5"/>
    </row>
    <row r="238" spans="1:4" x14ac:dyDescent="0.2">
      <c r="A238" s="5"/>
      <c r="D238" s="5"/>
    </row>
    <row r="239" spans="1:4" x14ac:dyDescent="0.2">
      <c r="A239" s="5"/>
      <c r="D239" s="5"/>
    </row>
    <row r="240" spans="1:4" x14ac:dyDescent="0.2">
      <c r="A240" s="5"/>
      <c r="D240" s="5"/>
    </row>
    <row r="241" spans="1:4" x14ac:dyDescent="0.2">
      <c r="A241" s="5"/>
      <c r="D241" s="5"/>
    </row>
    <row r="242" spans="1:4" x14ac:dyDescent="0.2">
      <c r="A242" s="5"/>
      <c r="D242" s="5"/>
    </row>
    <row r="243" spans="1:4" x14ac:dyDescent="0.2">
      <c r="A243" s="5"/>
      <c r="D243" s="5"/>
    </row>
    <row r="244" spans="1:4" x14ac:dyDescent="0.2">
      <c r="A244" s="5"/>
      <c r="D244" s="5"/>
    </row>
    <row r="245" spans="1:4" x14ac:dyDescent="0.2">
      <c r="A245" s="5"/>
      <c r="D245" s="5"/>
    </row>
    <row r="246" spans="1:4" x14ac:dyDescent="0.2">
      <c r="A246" s="5"/>
      <c r="D246" s="5"/>
    </row>
    <row r="247" spans="1:4" x14ac:dyDescent="0.2">
      <c r="A247" s="5"/>
      <c r="D247" s="5"/>
    </row>
    <row r="248" spans="1:4" x14ac:dyDescent="0.2">
      <c r="A248" s="5"/>
      <c r="D248" s="5"/>
    </row>
    <row r="249" spans="1:4" x14ac:dyDescent="0.2">
      <c r="A249" s="5"/>
      <c r="D249" s="5"/>
    </row>
    <row r="250" spans="1:4" x14ac:dyDescent="0.2">
      <c r="A250" s="5"/>
      <c r="D250" s="5"/>
    </row>
    <row r="251" spans="1:4" x14ac:dyDescent="0.2">
      <c r="A251" s="5"/>
      <c r="D251" s="5"/>
    </row>
    <row r="252" spans="1:4" x14ac:dyDescent="0.2">
      <c r="A252" s="5"/>
      <c r="D252" s="5"/>
    </row>
    <row r="253" spans="1:4" x14ac:dyDescent="0.2">
      <c r="A253" s="5"/>
      <c r="D253" s="5"/>
    </row>
    <row r="254" spans="1:4" x14ac:dyDescent="0.2">
      <c r="A254" s="5"/>
      <c r="D254" s="5"/>
    </row>
    <row r="255" spans="1:4" x14ac:dyDescent="0.2">
      <c r="A255" s="5"/>
      <c r="D255" s="5"/>
    </row>
    <row r="256" spans="1:4" x14ac:dyDescent="0.2">
      <c r="A256" s="5"/>
      <c r="D256" s="5"/>
    </row>
    <row r="257" spans="1:4" x14ac:dyDescent="0.2">
      <c r="A257" s="5"/>
      <c r="D257" s="5"/>
    </row>
    <row r="258" spans="1:4" x14ac:dyDescent="0.2">
      <c r="A258" s="5"/>
      <c r="D258" s="5"/>
    </row>
    <row r="259" spans="1:4" x14ac:dyDescent="0.2">
      <c r="A259" s="5"/>
      <c r="D259" s="5"/>
    </row>
    <row r="260" spans="1:4" x14ac:dyDescent="0.2">
      <c r="A260" s="5"/>
      <c r="D260" s="5"/>
    </row>
    <row r="261" spans="1:4" x14ac:dyDescent="0.2">
      <c r="A261" s="5"/>
      <c r="D261" s="5"/>
    </row>
    <row r="262" spans="1:4" x14ac:dyDescent="0.2">
      <c r="A262" s="5"/>
      <c r="D262" s="5"/>
    </row>
    <row r="263" spans="1:4" x14ac:dyDescent="0.2">
      <c r="A263" s="5"/>
      <c r="D263" s="5"/>
    </row>
    <row r="264" spans="1:4" x14ac:dyDescent="0.2">
      <c r="A264" s="5"/>
      <c r="D264" s="5"/>
    </row>
    <row r="265" spans="1:4" x14ac:dyDescent="0.2">
      <c r="A265" s="5"/>
      <c r="D265" s="5"/>
    </row>
    <row r="266" spans="1:4" x14ac:dyDescent="0.2">
      <c r="A266" s="5"/>
      <c r="D266" s="5"/>
    </row>
    <row r="267" spans="1:4" x14ac:dyDescent="0.2">
      <c r="A267" s="5"/>
      <c r="D267" s="5"/>
    </row>
    <row r="268" spans="1:4" x14ac:dyDescent="0.2">
      <c r="A268" s="5"/>
      <c r="D268" s="5"/>
    </row>
    <row r="269" spans="1:4" x14ac:dyDescent="0.2">
      <c r="A269" s="5"/>
      <c r="D269" s="5"/>
    </row>
    <row r="270" spans="1:4" x14ac:dyDescent="0.2">
      <c r="A270" s="5"/>
      <c r="D270" s="5"/>
    </row>
    <row r="271" spans="1:4" x14ac:dyDescent="0.2">
      <c r="A271" s="5"/>
      <c r="D271" s="5"/>
    </row>
    <row r="272" spans="1:4" x14ac:dyDescent="0.2">
      <c r="A272" s="5"/>
      <c r="D272" s="5"/>
    </row>
    <row r="273" spans="1:4" x14ac:dyDescent="0.2">
      <c r="A273" s="5"/>
      <c r="D273" s="5"/>
    </row>
    <row r="274" spans="1:4" x14ac:dyDescent="0.2">
      <c r="A274" s="5"/>
      <c r="D274" s="5"/>
    </row>
    <row r="275" spans="1:4" x14ac:dyDescent="0.2">
      <c r="A275" s="5"/>
      <c r="D275" s="5"/>
    </row>
    <row r="1140" spans="12:12" x14ac:dyDescent="0.2">
      <c r="L1140" t="s">
        <v>62</v>
      </c>
    </row>
    <row r="1141" spans="12:12" x14ac:dyDescent="0.2">
      <c r="L1141" t="s">
        <v>62</v>
      </c>
    </row>
    <row r="1142" spans="12:12" x14ac:dyDescent="0.2">
      <c r="L1142" t="s">
        <v>62</v>
      </c>
    </row>
    <row r="1143" spans="12:12" x14ac:dyDescent="0.2">
      <c r="L1143" t="s">
        <v>62</v>
      </c>
    </row>
    <row r="1144" spans="12:12" x14ac:dyDescent="0.2">
      <c r="L1144" t="s">
        <v>62</v>
      </c>
    </row>
    <row r="1145" spans="12:12" x14ac:dyDescent="0.2">
      <c r="L1145" t="s">
        <v>62</v>
      </c>
    </row>
    <row r="1146" spans="12:12" x14ac:dyDescent="0.2">
      <c r="L1146" t="s">
        <v>62</v>
      </c>
    </row>
    <row r="1147" spans="12:12" x14ac:dyDescent="0.2">
      <c r="L1147" t="s">
        <v>62</v>
      </c>
    </row>
    <row r="1148" spans="12:12" x14ac:dyDescent="0.2">
      <c r="L1148" t="s">
        <v>62</v>
      </c>
    </row>
    <row r="1149" spans="12:12" x14ac:dyDescent="0.2">
      <c r="L1149" t="s">
        <v>62</v>
      </c>
    </row>
    <row r="1150" spans="12:12" x14ac:dyDescent="0.2">
      <c r="L1150" t="s">
        <v>62</v>
      </c>
    </row>
    <row r="1151" spans="12:12" x14ac:dyDescent="0.2">
      <c r="L1151" t="s">
        <v>62</v>
      </c>
    </row>
    <row r="1152" spans="12:12" x14ac:dyDescent="0.2">
      <c r="L1152" t="s">
        <v>62</v>
      </c>
    </row>
    <row r="1153" spans="12:12" x14ac:dyDescent="0.2">
      <c r="L1153" t="s">
        <v>62</v>
      </c>
    </row>
    <row r="1154" spans="12:12" x14ac:dyDescent="0.2">
      <c r="L1154" t="s">
        <v>62</v>
      </c>
    </row>
    <row r="1155" spans="12:12" x14ac:dyDescent="0.2">
      <c r="L1155" t="s">
        <v>62</v>
      </c>
    </row>
    <row r="1156" spans="12:12" x14ac:dyDescent="0.2">
      <c r="L1156" t="s">
        <v>62</v>
      </c>
    </row>
    <row r="1157" spans="12:12" x14ac:dyDescent="0.2">
      <c r="L1157" t="s">
        <v>62</v>
      </c>
    </row>
    <row r="1158" spans="12:12" x14ac:dyDescent="0.2">
      <c r="L1158" t="s">
        <v>62</v>
      </c>
    </row>
    <row r="1159" spans="12:12" x14ac:dyDescent="0.2">
      <c r="L1159" t="s">
        <v>62</v>
      </c>
    </row>
    <row r="1160" spans="12:12" x14ac:dyDescent="0.2">
      <c r="L1160" t="s">
        <v>62</v>
      </c>
    </row>
    <row r="1161" spans="12:12" x14ac:dyDescent="0.2">
      <c r="L1161" t="s">
        <v>62</v>
      </c>
    </row>
    <row r="1162" spans="12:12" x14ac:dyDescent="0.2">
      <c r="L1162" t="s">
        <v>62</v>
      </c>
    </row>
    <row r="1163" spans="12:12" x14ac:dyDescent="0.2">
      <c r="L1163" t="s">
        <v>62</v>
      </c>
    </row>
    <row r="1164" spans="12:12" x14ac:dyDescent="0.2">
      <c r="L1164" t="s">
        <v>62</v>
      </c>
    </row>
    <row r="1165" spans="12:12" x14ac:dyDescent="0.2">
      <c r="L1165" t="s">
        <v>62</v>
      </c>
    </row>
    <row r="1166" spans="12:12" x14ac:dyDescent="0.2">
      <c r="L1166" t="s">
        <v>62</v>
      </c>
    </row>
    <row r="1167" spans="12:12" x14ac:dyDescent="0.2">
      <c r="L1167" t="s">
        <v>62</v>
      </c>
    </row>
    <row r="1168" spans="12:12" x14ac:dyDescent="0.2">
      <c r="L1168" t="s">
        <v>62</v>
      </c>
    </row>
    <row r="1169" spans="12:12" x14ac:dyDescent="0.2">
      <c r="L1169" t="s">
        <v>62</v>
      </c>
    </row>
    <row r="1170" spans="12:12" x14ac:dyDescent="0.2">
      <c r="L1170" t="s">
        <v>62</v>
      </c>
    </row>
    <row r="1171" spans="12:12" x14ac:dyDescent="0.2">
      <c r="L1171" t="s">
        <v>62</v>
      </c>
    </row>
    <row r="1172" spans="12:12" x14ac:dyDescent="0.2">
      <c r="L1172" t="s">
        <v>62</v>
      </c>
    </row>
    <row r="1173" spans="12:12" x14ac:dyDescent="0.2">
      <c r="L1173" t="s">
        <v>62</v>
      </c>
    </row>
    <row r="1174" spans="12:12" x14ac:dyDescent="0.2">
      <c r="L1174" t="s">
        <v>62</v>
      </c>
    </row>
    <row r="1175" spans="12:12" x14ac:dyDescent="0.2">
      <c r="L1175" t="s">
        <v>62</v>
      </c>
    </row>
    <row r="1176" spans="12:12" x14ac:dyDescent="0.2">
      <c r="L1176" t="s">
        <v>62</v>
      </c>
    </row>
    <row r="1177" spans="12:12" x14ac:dyDescent="0.2">
      <c r="L1177" t="s">
        <v>62</v>
      </c>
    </row>
    <row r="1178" spans="12:12" x14ac:dyDescent="0.2">
      <c r="L1178" t="s">
        <v>62</v>
      </c>
    </row>
    <row r="1179" spans="12:12" x14ac:dyDescent="0.2">
      <c r="L1179" t="s">
        <v>62</v>
      </c>
    </row>
    <row r="1180" spans="12:12" x14ac:dyDescent="0.2">
      <c r="L1180" t="s">
        <v>62</v>
      </c>
    </row>
    <row r="1181" spans="12:12" x14ac:dyDescent="0.2">
      <c r="L1181" t="s">
        <v>62</v>
      </c>
    </row>
    <row r="1182" spans="12:12" x14ac:dyDescent="0.2">
      <c r="L1182" t="s">
        <v>62</v>
      </c>
    </row>
    <row r="1183" spans="12:12" x14ac:dyDescent="0.2">
      <c r="L1183" t="s">
        <v>62</v>
      </c>
    </row>
    <row r="1184" spans="12:12" x14ac:dyDescent="0.2">
      <c r="L1184" t="s">
        <v>62</v>
      </c>
    </row>
    <row r="1185" spans="12:12" x14ac:dyDescent="0.2">
      <c r="L1185" t="s">
        <v>62</v>
      </c>
    </row>
    <row r="1186" spans="12:12" x14ac:dyDescent="0.2">
      <c r="L1186" t="s">
        <v>62</v>
      </c>
    </row>
    <row r="1187" spans="12:12" x14ac:dyDescent="0.2">
      <c r="L1187" t="s">
        <v>62</v>
      </c>
    </row>
    <row r="1236" spans="1:10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</row>
    <row r="1237" spans="1:10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</row>
    <row r="1238" spans="1:10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</row>
    <row r="1239" spans="1:10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</row>
    <row r="1240" spans="1:10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</row>
    <row r="1241" spans="1:10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</row>
    <row r="1242" spans="1:10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</row>
    <row r="1243" spans="1:10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</row>
    <row r="1244" spans="1:10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</row>
    <row r="1245" spans="1:10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</row>
    <row r="1246" spans="1:10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</row>
    <row r="1247" spans="1:10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</row>
    <row r="1248" spans="1:10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</row>
    <row r="1249" spans="1:10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</row>
    <row r="1250" spans="1:10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</row>
    <row r="1251" spans="1:10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</row>
    <row r="1252" spans="1:10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</row>
    <row r="1253" spans="1:10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</row>
    <row r="1254" spans="1:10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</row>
    <row r="1255" spans="1:10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</row>
    <row r="1256" spans="1:10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</row>
    <row r="1257" spans="1:10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</row>
    <row r="1258" spans="1:10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</row>
    <row r="1259" spans="1:10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</row>
    <row r="1260" spans="1:10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</row>
    <row r="1261" spans="1:10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</row>
    <row r="1262" spans="1:10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</row>
    <row r="1263" spans="1:10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</row>
    <row r="1264" spans="1:10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</row>
    <row r="1265" spans="1:10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</row>
    <row r="1266" spans="1:10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</row>
    <row r="1267" spans="1:10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</row>
    <row r="1268" spans="1:10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</row>
    <row r="1269" spans="1:10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</row>
    <row r="1270" spans="1:10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</row>
    <row r="1271" spans="1:10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</row>
    <row r="1272" spans="1:10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</row>
    <row r="1273" spans="1:10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</row>
    <row r="1274" spans="1:10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</row>
    <row r="1275" spans="1:10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</row>
    <row r="1276" spans="1:10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</row>
    <row r="1277" spans="1:10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</row>
    <row r="1278" spans="1:10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</row>
    <row r="1279" spans="1:10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</row>
    <row r="1280" spans="1:10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</row>
    <row r="1281" spans="1:10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</row>
    <row r="1282" spans="1:10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</row>
    <row r="1283" spans="1:10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</row>
    <row r="1284" spans="1:10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</row>
    <row r="1285" spans="1:10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</row>
    <row r="1286" spans="1:10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</row>
    <row r="1287" spans="1:10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</row>
    <row r="1288" spans="1:10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</row>
    <row r="1289" spans="1:10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</row>
    <row r="1290" spans="1:10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</row>
    <row r="1291" spans="1:10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</row>
    <row r="1292" spans="1:10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</row>
    <row r="1293" spans="1:10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</row>
    <row r="1294" spans="1:10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</row>
    <row r="1295" spans="1:10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</row>
    <row r="1296" spans="1:10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</row>
    <row r="1297" spans="1:10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</row>
    <row r="1298" spans="1:10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</row>
    <row r="1299" spans="1:10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</row>
    <row r="1300" spans="1:10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</row>
    <row r="1301" spans="1:10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</row>
    <row r="1302" spans="1:10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</row>
    <row r="1303" spans="1:10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</row>
    <row r="1304" spans="1:10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</row>
    <row r="1305" spans="1:10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</row>
    <row r="1306" spans="1:10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</row>
    <row r="1307" spans="1:10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</row>
    <row r="1308" spans="1:10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</row>
    <row r="1309" spans="1:10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</row>
    <row r="1310" spans="1:10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</row>
    <row r="1311" spans="1:10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</row>
    <row r="1312" spans="1:10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</row>
    <row r="1313" spans="1:10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</row>
    <row r="1314" spans="1:10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</row>
    <row r="1315" spans="1:10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</row>
    <row r="1316" spans="1:10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</row>
    <row r="1317" spans="1:10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</row>
    <row r="1318" spans="1:10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</row>
    <row r="1319" spans="1:10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</row>
    <row r="1320" spans="1:10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</row>
    <row r="1321" spans="1:10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</row>
    <row r="1322" spans="1:10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</row>
    <row r="1323" spans="1:10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</row>
    <row r="1324" spans="1:10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</row>
    <row r="1325" spans="1:10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</row>
    <row r="1326" spans="1:10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</row>
    <row r="1327" spans="1:10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</row>
    <row r="1328" spans="1:10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</row>
    <row r="1329" spans="1:10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</row>
    <row r="1330" spans="1:10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</row>
    <row r="1331" spans="1:10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</row>
    <row r="1332" spans="1:10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</row>
    <row r="1333" spans="1:10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</row>
    <row r="1334" spans="1:10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</row>
    <row r="1335" spans="1:10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</row>
    <row r="1336" spans="1:10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</row>
    <row r="1337" spans="1:10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</row>
    <row r="1338" spans="1:10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</row>
    <row r="1339" spans="1:10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</row>
    <row r="1340" spans="1:10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</row>
    <row r="1341" spans="1:10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</row>
    <row r="1342" spans="1:10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</row>
    <row r="1343" spans="1:10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</row>
    <row r="1344" spans="1:10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</row>
    <row r="1345" spans="1:10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</row>
    <row r="1346" spans="1:10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</row>
    <row r="1347" spans="1:10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</row>
    <row r="1348" spans="1:10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</row>
    <row r="1349" spans="1:10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</row>
    <row r="1350" spans="1:10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</row>
    <row r="1351" spans="1:10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</row>
    <row r="1352" spans="1:10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</row>
    <row r="1353" spans="1:10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</row>
    <row r="1354" spans="1:10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</row>
    <row r="1355" spans="1:10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</row>
    <row r="1356" spans="1:10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</row>
    <row r="1357" spans="1:10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</row>
    <row r="1358" spans="1:10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</row>
    <row r="1359" spans="1:10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</row>
    <row r="1360" spans="1:10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</row>
    <row r="1361" spans="1:10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</row>
    <row r="1362" spans="1:10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</row>
    <row r="1363" spans="1:10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</row>
    <row r="1364" spans="1:10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</row>
    <row r="1365" spans="1:10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</row>
    <row r="1366" spans="1:10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</row>
    <row r="1367" spans="1:10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</row>
    <row r="1368" spans="1:10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</row>
    <row r="1369" spans="1:10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</row>
    <row r="1370" spans="1:10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</row>
    <row r="1371" spans="1:10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</row>
    <row r="1372" spans="1:10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</row>
    <row r="1373" spans="1:10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</row>
    <row r="1374" spans="1:10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</row>
    <row r="1375" spans="1:10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</row>
    <row r="1376" spans="1:10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</row>
    <row r="1377" spans="1:10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</row>
    <row r="1378" spans="1:10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</row>
    <row r="1379" spans="1:10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</row>
    <row r="1380" spans="1:10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</row>
    <row r="1381" spans="1:10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</row>
    <row r="1382" spans="1:10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</row>
    <row r="1383" spans="1:10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</row>
    <row r="1384" spans="1:10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</row>
    <row r="1385" spans="1:10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</row>
    <row r="1386" spans="1:10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</row>
    <row r="1387" spans="1:10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</row>
    <row r="1388" spans="1:10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</row>
    <row r="1389" spans="1:10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</row>
    <row r="1390" spans="1:10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</row>
    <row r="1391" spans="1:10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</row>
    <row r="1392" spans="1:10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</row>
    <row r="1393" spans="1:10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</row>
    <row r="1394" spans="1:10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</row>
    <row r="1395" spans="1:10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</row>
    <row r="1396" spans="1:10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</row>
    <row r="1397" spans="1:10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</row>
    <row r="1398" spans="1:10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</row>
    <row r="1399" spans="1:10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</row>
    <row r="1400" spans="1:10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</row>
    <row r="1401" spans="1:10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</row>
    <row r="1402" spans="1:10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</row>
    <row r="1403" spans="1:10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</row>
    <row r="1404" spans="1:10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</row>
    <row r="1405" spans="1:10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</row>
    <row r="1406" spans="1:10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</row>
    <row r="1407" spans="1:10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</row>
    <row r="1408" spans="1:10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</row>
    <row r="1409" spans="1:10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</row>
    <row r="1410" spans="1:10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</row>
    <row r="1411" spans="1:10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</row>
    <row r="1412" spans="1:10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</row>
    <row r="1413" spans="1:10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</row>
    <row r="1414" spans="1:10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</row>
    <row r="1415" spans="1:10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</row>
    <row r="1416" spans="1:10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</row>
    <row r="1417" spans="1:10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</row>
    <row r="1418" spans="1:10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</row>
    <row r="1419" spans="1:10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</row>
    <row r="1420" spans="1:10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</row>
    <row r="1421" spans="1:10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</row>
    <row r="1422" spans="1:10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</row>
    <row r="1423" spans="1:10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</row>
    <row r="1424" spans="1:10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</row>
    <row r="1425" spans="1:10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</row>
    <row r="1426" spans="1:10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</row>
    <row r="1427" spans="1:10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</row>
    <row r="1428" spans="1:10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</row>
    <row r="1429" spans="1:10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</row>
    <row r="1430" spans="1:10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</row>
    <row r="1431" spans="1:10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</row>
    <row r="1432" spans="1:10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</row>
    <row r="1433" spans="1:10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</row>
    <row r="1434" spans="1:10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</row>
    <row r="1435" spans="1:10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</row>
    <row r="1436" spans="1:10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</row>
    <row r="1437" spans="1:10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</row>
    <row r="1438" spans="1:10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</row>
    <row r="1439" spans="1:10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</row>
    <row r="1440" spans="1:10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</row>
    <row r="1441" spans="1:10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</row>
    <row r="1442" spans="1:10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</row>
    <row r="1443" spans="1:10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</row>
    <row r="1444" spans="1:10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</row>
    <row r="1445" spans="1:10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</row>
    <row r="1446" spans="1:10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</row>
    <row r="1447" spans="1:10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</row>
    <row r="1448" spans="1:10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</row>
    <row r="1449" spans="1:10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</row>
    <row r="1450" spans="1:10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</row>
    <row r="1451" spans="1:10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</row>
    <row r="1452" spans="1:10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</row>
    <row r="1453" spans="1:10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</row>
    <row r="1454" spans="1:10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</row>
    <row r="1455" spans="1:10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</row>
    <row r="1456" spans="1:10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</row>
    <row r="1457" spans="1:10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</row>
    <row r="1458" spans="1:10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</row>
    <row r="1459" spans="1:10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</row>
    <row r="1460" spans="1:10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</row>
    <row r="1461" spans="1:10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</row>
    <row r="1462" spans="1:10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</row>
    <row r="1463" spans="1:10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</row>
    <row r="1464" spans="1:10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</row>
    <row r="1465" spans="1:10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</row>
    <row r="1466" spans="1:10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</row>
    <row r="1467" spans="1:10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</row>
    <row r="1468" spans="1:10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</row>
    <row r="1469" spans="1:10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</row>
    <row r="1470" spans="1:10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</row>
    <row r="1471" spans="1:10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</row>
    <row r="1472" spans="1:10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</row>
    <row r="1473" spans="1:12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</row>
    <row r="1474" spans="1:12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</row>
    <row r="1475" spans="1:12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</row>
    <row r="1476" spans="1:12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L1476" s="10"/>
    </row>
    <row r="1477" spans="1:12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</row>
    <row r="1478" spans="1:12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</row>
    <row r="1479" spans="1:12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</row>
    <row r="1480" spans="1:12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</row>
    <row r="1481" spans="1:12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</row>
    <row r="1482" spans="1:12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</row>
    <row r="1483" spans="1:12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</row>
    <row r="1484" spans="1:12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</row>
    <row r="1485" spans="1:12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</row>
    <row r="1486" spans="1:12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</row>
    <row r="1487" spans="1:12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</row>
    <row r="1488" spans="1:12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</row>
    <row r="1489" spans="1:10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</row>
    <row r="1490" spans="1:10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</row>
    <row r="1491" spans="1:10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</row>
    <row r="1492" spans="1:10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</row>
    <row r="1493" spans="1:10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</row>
    <row r="1494" spans="1:10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</row>
    <row r="1495" spans="1:10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</row>
    <row r="1496" spans="1:10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</row>
    <row r="1497" spans="1:10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</row>
    <row r="1498" spans="1:10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</row>
    <row r="1499" spans="1:10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</row>
    <row r="1500" spans="1:10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</row>
    <row r="1501" spans="1:10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</row>
    <row r="1502" spans="1:10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</row>
    <row r="1503" spans="1:10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</row>
    <row r="1504" spans="1:10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</row>
    <row r="1505" spans="1:10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</row>
    <row r="1506" spans="1:10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</row>
    <row r="1507" spans="1:10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</row>
    <row r="1508" spans="1:10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</row>
    <row r="1509" spans="1:10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</row>
    <row r="1510" spans="1:10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</row>
    <row r="1511" spans="1:10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</row>
    <row r="1512" spans="1:10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</row>
    <row r="1513" spans="1:10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</row>
    <row r="1514" spans="1:10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</row>
    <row r="1515" spans="1:10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</row>
    <row r="1516" spans="1:10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</row>
    <row r="1517" spans="1:10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</row>
    <row r="1518" spans="1:10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</row>
    <row r="1519" spans="1:10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</row>
    <row r="1520" spans="1:10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</row>
    <row r="1521" spans="1:10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</row>
    <row r="1522" spans="1:10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</row>
    <row r="1523" spans="1:10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</row>
    <row r="1524" spans="1:10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</row>
    <row r="1525" spans="1:10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</row>
    <row r="1526" spans="1:10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</row>
    <row r="1527" spans="1:10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</row>
    <row r="1528" spans="1:10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</row>
    <row r="1529" spans="1:10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</row>
    <row r="1530" spans="1:10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</row>
    <row r="1531" spans="1:10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</row>
    <row r="1532" spans="1:10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</row>
    <row r="1533" spans="1:10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</row>
    <row r="1534" spans="1:10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</row>
    <row r="1535" spans="1:10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</row>
    <row r="1536" spans="1:10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</row>
    <row r="1537" spans="1:10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</row>
    <row r="1538" spans="1:10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</row>
    <row r="1539" spans="1:10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</row>
    <row r="1540" spans="1:10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</row>
    <row r="1541" spans="1:10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</row>
    <row r="1542" spans="1:10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</row>
    <row r="1543" spans="1:10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</row>
    <row r="1544" spans="1:10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</row>
    <row r="1545" spans="1:10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</row>
    <row r="1546" spans="1:10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</row>
    <row r="1547" spans="1:10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</row>
    <row r="1548" spans="1:10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</row>
    <row r="1549" spans="1:10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</row>
    <row r="1550" spans="1:10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</row>
    <row r="1551" spans="1:10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</row>
    <row r="1552" spans="1:10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</row>
    <row r="1553" spans="1:10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</row>
    <row r="1554" spans="1:10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</row>
    <row r="1555" spans="1:10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</row>
    <row r="1556" spans="1:10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</row>
    <row r="1557" spans="1:10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</row>
    <row r="1558" spans="1:10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</row>
    <row r="1559" spans="1:10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</row>
    <row r="1560" spans="1:10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</row>
    <row r="1561" spans="1:10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</row>
    <row r="1562" spans="1:10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</row>
    <row r="1563" spans="1:10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</row>
    <row r="1564" spans="1:10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</row>
    <row r="1565" spans="1:10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</row>
    <row r="1566" spans="1:10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</row>
    <row r="1567" spans="1:10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</row>
    <row r="1568" spans="1:10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</row>
    <row r="1569" spans="1:10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</row>
    <row r="1570" spans="1:10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</row>
    <row r="1571" spans="1:10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</row>
    <row r="1572" spans="1:10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</row>
    <row r="1573" spans="1:10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</row>
    <row r="1574" spans="1:10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</row>
    <row r="1575" spans="1:10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</row>
    <row r="1576" spans="1:10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</row>
    <row r="1577" spans="1:10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</row>
    <row r="1578" spans="1:10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</row>
    <row r="1579" spans="1:10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</row>
    <row r="1580" spans="1:10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</row>
    <row r="1581" spans="1:10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</row>
    <row r="1582" spans="1:10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</row>
    <row r="1583" spans="1:10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</row>
    <row r="1584" spans="1:10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</row>
    <row r="1585" spans="1:10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</row>
    <row r="1586" spans="1:10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</row>
    <row r="1587" spans="1:10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</row>
    <row r="1588" spans="1:10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</row>
    <row r="1589" spans="1:10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</row>
    <row r="1590" spans="1:10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</row>
    <row r="1591" spans="1:10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</row>
    <row r="1592" spans="1:10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</row>
    <row r="1593" spans="1:10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</row>
    <row r="1594" spans="1:10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</row>
    <row r="1595" spans="1:10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</row>
    <row r="1596" spans="1:10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</row>
    <row r="1597" spans="1:10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</row>
    <row r="1598" spans="1:10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</row>
    <row r="1599" spans="1:10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</row>
    <row r="1600" spans="1:10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</row>
    <row r="1601" spans="1:10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</row>
    <row r="1602" spans="1:10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</row>
    <row r="1603" spans="1:10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</row>
    <row r="1604" spans="1:10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</row>
    <row r="1605" spans="1:10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</row>
    <row r="1606" spans="1:10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</row>
    <row r="1607" spans="1:10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</row>
    <row r="1608" spans="1:10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</row>
    <row r="1609" spans="1:10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</row>
    <row r="1610" spans="1:10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</row>
    <row r="1611" spans="1:10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</row>
    <row r="1612" spans="1:10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</row>
    <row r="1613" spans="1:10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</row>
    <row r="1614" spans="1:10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</row>
    <row r="1615" spans="1:10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</row>
    <row r="1616" spans="1:10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</row>
    <row r="1617" spans="1:10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</row>
    <row r="1618" spans="1:10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</row>
    <row r="1619" spans="1:10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</row>
    <row r="1620" spans="1:10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</row>
    <row r="1621" spans="1:10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</row>
    <row r="1622" spans="1:10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</row>
    <row r="1623" spans="1:10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</row>
    <row r="1624" spans="1:10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</row>
    <row r="1625" spans="1:10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</row>
    <row r="1626" spans="1:10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</row>
    <row r="1627" spans="1:10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</row>
    <row r="1628" spans="1:10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</row>
    <row r="1629" spans="1:10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</row>
    <row r="1630" spans="1:10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</row>
    <row r="1631" spans="1:10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</row>
    <row r="1632" spans="1:10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</row>
    <row r="1633" spans="1:10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</row>
    <row r="1634" spans="1:10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</row>
    <row r="1635" spans="1:10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</row>
    <row r="1636" spans="1:10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</row>
    <row r="1637" spans="1:10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</row>
    <row r="1638" spans="1:10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</row>
    <row r="1639" spans="1:10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</row>
    <row r="1640" spans="1:10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</row>
    <row r="1641" spans="1:10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</row>
    <row r="1642" spans="1:10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</row>
    <row r="1643" spans="1:10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</row>
    <row r="1644" spans="1:10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</row>
    <row r="1645" spans="1:10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</row>
    <row r="1646" spans="1:10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</row>
    <row r="1647" spans="1:10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</row>
    <row r="1648" spans="1:10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</row>
    <row r="1649" spans="1:10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</row>
    <row r="1650" spans="1:10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</row>
    <row r="1651" spans="1:10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</row>
    <row r="1652" spans="1:10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</row>
    <row r="1653" spans="1:10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</row>
    <row r="1654" spans="1:10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</row>
    <row r="1655" spans="1:10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</row>
    <row r="1656" spans="1:10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</row>
    <row r="1657" spans="1:10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</row>
    <row r="1658" spans="1:10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</row>
    <row r="1659" spans="1:10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</row>
    <row r="1660" spans="1:10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</row>
    <row r="1661" spans="1:10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</row>
    <row r="1662" spans="1:10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</row>
    <row r="1663" spans="1:10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</row>
    <row r="1664" spans="1:10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</row>
    <row r="1665" spans="1:10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</row>
    <row r="1666" spans="1:10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</row>
    <row r="1667" spans="1:10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</row>
    <row r="1668" spans="1:10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</row>
    <row r="1669" spans="1:10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</row>
    <row r="1670" spans="1:10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</row>
    <row r="1671" spans="1:10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</row>
    <row r="1672" spans="1:10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</row>
    <row r="1673" spans="1:10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</row>
    <row r="1674" spans="1:10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</row>
    <row r="1675" spans="1:10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</row>
    <row r="1676" spans="1:10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</row>
    <row r="1677" spans="1:10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</row>
    <row r="1678" spans="1:10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</row>
    <row r="1679" spans="1:10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</row>
    <row r="1680" spans="1:10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</row>
    <row r="1681" spans="1:10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</row>
    <row r="1682" spans="1:10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</row>
    <row r="1683" spans="1:10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</row>
    <row r="1684" spans="1:10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</row>
    <row r="1685" spans="1:10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</row>
    <row r="1686" spans="1:10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</row>
    <row r="1687" spans="1:10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</row>
    <row r="1688" spans="1:10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</row>
    <row r="1689" spans="1:10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</row>
    <row r="1690" spans="1:10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</row>
    <row r="1691" spans="1:10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</row>
    <row r="1692" spans="1:10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</row>
    <row r="1693" spans="1:10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</row>
    <row r="1694" spans="1:10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</row>
    <row r="1695" spans="1:10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</row>
    <row r="1696" spans="1:10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</row>
    <row r="1697" spans="1:10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</row>
    <row r="1698" spans="1:10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</row>
    <row r="1699" spans="1:10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</row>
    <row r="1700" spans="1:10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</row>
    <row r="1701" spans="1:10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</row>
    <row r="1702" spans="1:10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</row>
    <row r="1703" spans="1:10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</row>
    <row r="1704" spans="1:10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</row>
    <row r="1705" spans="1:10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</row>
    <row r="1706" spans="1:10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</row>
    <row r="1707" spans="1:10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</row>
    <row r="1708" spans="1:10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</row>
    <row r="1709" spans="1:10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</row>
    <row r="1710" spans="1:10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</row>
    <row r="1711" spans="1:10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</row>
    <row r="1712" spans="1:10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</row>
    <row r="1713" spans="1:10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</row>
    <row r="1714" spans="1:10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</row>
    <row r="1715" spans="1:10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</row>
  </sheetData>
  <sortState xmlns:xlrd2="http://schemas.microsoft.com/office/spreadsheetml/2017/richdata2" ref="A2:L1715">
    <sortCondition ref="A2:A1715"/>
    <sortCondition ref="B2:B1715"/>
    <sortCondition ref="C2:C1715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Ariana Huffmyer</dc:creator>
  <cp:keywords/>
  <dc:description/>
  <cp:lastModifiedBy>Ariana Huffmyer</cp:lastModifiedBy>
  <cp:revision/>
  <dcterms:created xsi:type="dcterms:W3CDTF">2025-06-30T17:21:56Z</dcterms:created>
  <dcterms:modified xsi:type="dcterms:W3CDTF">2026-09-21T19:09:02Z</dcterms:modified>
  <cp:category/>
  <cp:contentStatus/>
</cp:coreProperties>
</file>